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 3-1-26 | 3-14-26" sheetId="1" state="visible" r:id="rId1"/>
  </sheets>
  <definedNames>
    <definedName name="_xlnm._FilterDatabase" localSheetId="0" hidden="1">'Sprint 3-1-26 | 3-14-26'!$A$1:$T$20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yyyy-mm-dd hh:mm"/>
  </numFmts>
  <fonts count="2">
    <font>
      <name val="Calibri"/>
      <family val="2"/>
      <color theme="1"/>
      <sz val="11"/>
      <scheme val="minor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6600"/>
        <bgColor rgb="FFFF6600"/>
      </patternFill>
    </fill>
    <fill>
      <patternFill patternType="solid">
        <fgColor rgb="FFFFCCFF"/>
        <bgColor rgb="FFFF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5" fontId="0" fillId="2" borderId="1" applyAlignment="1" pivotButton="0" quotePrefix="0" xfId="0">
      <alignment vertical="top"/>
    </xf>
    <xf numFmtId="166" fontId="0" fillId="2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1" fontId="0" fillId="2" borderId="1" applyAlignment="1" pivotButton="0" quotePrefix="0" xfId="0">
      <alignment vertical="top"/>
    </xf>
    <xf numFmtId="1" fontId="0" fillId="3" borderId="1" applyAlignment="1" pivotButton="0" quotePrefix="0" xfId="0">
      <alignment vertical="top"/>
    </xf>
    <xf numFmtId="0" fontId="0" fillId="2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/>
    </xf>
    <xf numFmtId="166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1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5" fontId="0" fillId="5" borderId="1" applyAlignment="1" pivotButton="0" quotePrefix="0" xfId="0">
      <alignment vertical="top"/>
    </xf>
    <xf numFmtId="166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1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57" customWidth="1" min="1" max="1"/>
    <col width="15.71" customWidth="1" min="2" max="2"/>
    <col width="14.29" customWidth="1" min="3" max="3"/>
    <col width="15" customWidth="1" min="4" max="4"/>
    <col width="17.43" customWidth="1" min="5" max="5"/>
    <col width="18.29" customWidth="1" min="6" max="6"/>
    <col width="17" customWidth="1" min="7" max="7"/>
    <col width="13.14" customWidth="1" min="8" max="8"/>
    <col width="11" customWidth="1" min="9" max="9"/>
    <col width="21" customWidth="1" min="10" max="10"/>
    <col width="19.57" customWidth="1" min="11" max="11"/>
    <col width="23.86" customWidth="1" min="12" max="12"/>
    <col width="15.43" customWidth="1" min="13" max="13"/>
    <col width="15.14" customWidth="1" min="14" max="14"/>
    <col width="18.43" customWidth="1" min="15" max="15"/>
    <col width="20" customWidth="1" min="16" max="16"/>
    <col width="80" customWidth="1" min="17" max="17"/>
    <col width="62" customWidth="1" min="18" max="18"/>
    <col width="17.57" customWidth="1" min="19" max="19"/>
    <col width="54.86" customWidth="1" min="20" max="20"/>
  </cols>
  <sheetData>
    <row r="1">
      <c r="A1" s="1" t="inlineStr">
        <is>
          <t>Finished Date</t>
        </is>
      </c>
      <c r="B1" s="1" t="inlineStr">
        <is>
          <t>Create Date</t>
        </is>
      </c>
      <c r="C1" s="1" t="inlineStr">
        <is>
          <t>Started Date</t>
        </is>
      </c>
      <c r="D1" s="1" t="inlineStr">
        <is>
          <t>On Hold Date</t>
        </is>
      </c>
      <c r="E1" s="1" t="inlineStr">
        <is>
          <t>Re-Started Date</t>
        </is>
      </c>
      <c r="F1" s="1" t="inlineStr">
        <is>
          <t>Assignation Date</t>
        </is>
      </c>
      <c r="G1" s="1" t="inlineStr">
        <is>
          <t>Label</t>
        </is>
      </c>
      <c r="H1" s="1" t="inlineStr">
        <is>
          <t xml:space="preserve">Estimation </t>
        </is>
      </c>
      <c r="I1" s="1" t="inlineStr">
        <is>
          <t>Completed</t>
        </is>
      </c>
      <c r="J1" s="1" t="inlineStr">
        <is>
          <t>Non Workable Days</t>
        </is>
      </c>
      <c r="K1" s="1" t="inlineStr">
        <is>
          <t>Real Worked time</t>
        </is>
      </c>
      <c r="L1" s="1" t="inlineStr">
        <is>
          <t>Difference est and real</t>
        </is>
      </c>
      <c r="M1" s="1" t="inlineStr">
        <is>
          <t>Assigned By</t>
        </is>
      </c>
      <c r="N1" s="1" t="inlineStr">
        <is>
          <t>Dev</t>
        </is>
      </c>
      <c r="O1" s="1" t="inlineStr">
        <is>
          <t>Project</t>
        </is>
      </c>
      <c r="P1" s="1" t="inlineStr">
        <is>
          <t>Jira Ticket Number</t>
        </is>
      </c>
      <c r="Q1" s="1" t="inlineStr">
        <is>
          <t>Ticket Name</t>
        </is>
      </c>
      <c r="R1" s="1" t="inlineStr">
        <is>
          <t>Resolution Details</t>
        </is>
      </c>
      <c r="S1" s="1" t="inlineStr">
        <is>
          <t>Status</t>
        </is>
      </c>
      <c r="T1" s="1" t="inlineStr">
        <is>
          <t>Effort Comments</t>
        </is>
      </c>
    </row>
    <row r="2">
      <c r="A2" s="2" t="n">
        <v>46087.54389439815</v>
      </c>
      <c r="B2" s="3" t="n">
        <v>46080.57815166667</v>
      </c>
      <c r="C2" s="2" t="n">
        <v>46083</v>
      </c>
      <c r="D2" s="2" t="n">
        <v>46084</v>
      </c>
      <c r="E2" s="2" t="n"/>
      <c r="F2" s="2" t="n">
        <v>46083</v>
      </c>
      <c r="G2" s="4" t="inlineStr">
        <is>
          <t>CurrentVersion</t>
        </is>
      </c>
      <c r="H2" s="4" t="n">
        <v>12</v>
      </c>
      <c r="I2" s="4">
        <f>IF(ISBLANK(A2),0,(A2-C2)*8)</f>
        <v/>
      </c>
      <c r="J2" s="4" t="n">
        <v>0</v>
      </c>
      <c r="K2" s="5">
        <f>I2-IF(ISBLANK(D2),0,IF(NOT(ISBLANK(E2)),(E2-D2)*8,IF(NOT(ISBLANK(A2)),(A2-D2)*8,0)))-(J2*8)</f>
        <v/>
      </c>
      <c r="L2" s="6">
        <f>IF(K2&gt;0,H2-K2,0)</f>
        <v/>
      </c>
      <c r="M2" s="4" t="inlineStr">
        <is>
          <t>Adrian Rojas</t>
        </is>
      </c>
      <c r="N2" s="4" t="inlineStr">
        <is>
          <t>Adrian Rojas</t>
        </is>
      </c>
      <c r="O2" s="4" t="inlineStr">
        <is>
          <t>MFGR10 - MFGROW - Deacom</t>
        </is>
      </c>
      <c r="P2" s="4" t="inlineStr">
        <is>
          <t>MFGR10-43562</t>
        </is>
      </c>
      <c r="Q2" s="7" t="inlineStr">
        <is>
          <t>Dev 1 - MFGR10-43561 - SR- Print destinations not working in WMS</t>
        </is>
      </c>
      <c r="R2" s="7" t="inlineStr">
        <is>
          <t>Waiting for PC to give examples to reproduce the steps.</t>
        </is>
      </c>
      <c r="S2" s="7" t="inlineStr">
        <is>
          <t>Done</t>
        </is>
      </c>
      <c r="T2" s="7" t="inlineStr"/>
    </row>
    <row r="3">
      <c r="A3" s="2" t="n">
        <v>46087.65170938658</v>
      </c>
      <c r="B3" s="3" t="n">
        <v>46084.49548162037</v>
      </c>
      <c r="C3" s="2" t="n">
        <v>46084</v>
      </c>
      <c r="D3" s="2" t="n">
        <v>46084</v>
      </c>
      <c r="E3" s="2" t="n">
        <v>46085</v>
      </c>
      <c r="F3" s="2" t="n">
        <v>46084</v>
      </c>
      <c r="G3" s="4" t="inlineStr">
        <is>
          <t>DEV</t>
        </is>
      </c>
      <c r="H3" s="4" t="n">
        <v>12</v>
      </c>
      <c r="I3" s="4">
        <f>IF(ISBLANK(A3),0,(A3-C3)*8)</f>
        <v/>
      </c>
      <c r="J3" s="4" t="n">
        <v>0</v>
      </c>
      <c r="K3" s="5">
        <f>I3-IF(ISBLANK(D3),0,IF(NOT(ISBLANK(E3)),(E3-D3)*8,IF(NOT(ISBLANK(A3)),(A3-D3)*8,0)))-(J3*8)</f>
        <v/>
      </c>
      <c r="L3" s="6">
        <f>IF(K3&gt;0,H3-K3,0)</f>
        <v/>
      </c>
      <c r="M3" s="4" t="inlineStr">
        <is>
          <t>Adrian Rojas</t>
        </is>
      </c>
      <c r="N3" s="4" t="inlineStr">
        <is>
          <t>Adrian Rojas</t>
        </is>
      </c>
      <c r="O3" s="4" t="inlineStr">
        <is>
          <t>MFGR10 - MFGROW - Deacom</t>
        </is>
      </c>
      <c r="P3" s="4" t="inlineStr">
        <is>
          <t>MFGR10-43726</t>
        </is>
      </c>
      <c r="Q3" s="7" t="inlineStr">
        <is>
          <t>Exec 1 - MFGR10-43725 - SR- Incorrect GL Postings with Un-Finish</t>
        </is>
      </c>
      <c r="R3" s="7" t="inlineStr">
        <is>
          <t>Paused research for PTO, will continue on friday march 4th.</t>
        </is>
      </c>
      <c r="S3" s="7" t="inlineStr">
        <is>
          <t>Done</t>
        </is>
      </c>
      <c r="T3" s="7" t="inlineStr"/>
    </row>
    <row r="4">
      <c r="A4" s="2" t="n">
        <v>46094.58274033565</v>
      </c>
      <c r="B4" s="3" t="n">
        <v>45715.3298159375</v>
      </c>
      <c r="C4" s="2" t="n">
        <v>46090</v>
      </c>
      <c r="D4" s="2" t="n">
        <v>46090</v>
      </c>
      <c r="E4" s="2" t="n">
        <v>46093</v>
      </c>
      <c r="F4" s="2" t="n">
        <v>46090</v>
      </c>
      <c r="G4" s="4" t="inlineStr">
        <is>
          <t>DEV</t>
        </is>
      </c>
      <c r="H4" s="4" t="n">
        <v>24</v>
      </c>
      <c r="I4" s="4">
        <f>IF(ISBLANK(A4),0,(A4-C4)*8)</f>
        <v/>
      </c>
      <c r="J4" s="4" t="n">
        <v>0</v>
      </c>
      <c r="K4" s="5">
        <f>I4-IF(ISBLANK(D4),0,IF(NOT(ISBLANK(E4)),(E4-D4)*8,IF(NOT(ISBLANK(A4)),(A4-D4)*8,0)))-(J4*8)</f>
        <v/>
      </c>
      <c r="L4" s="6">
        <f>IF(K4&gt;0,H4-K4,0)</f>
        <v/>
      </c>
      <c r="M4" s="4" t="inlineStr">
        <is>
          <t>Adrian Rojas</t>
        </is>
      </c>
      <c r="N4" s="4" t="inlineStr">
        <is>
          <t>Adrian Rojas</t>
        </is>
      </c>
      <c r="O4" s="4" t="inlineStr">
        <is>
          <t>MFGR10 - MFGROW - Deacom</t>
        </is>
      </c>
      <c r="P4" s="4" t="inlineStr">
        <is>
          <t>MFGR10-10167</t>
        </is>
      </c>
      <c r="Q4" s="7" t="inlineStr">
        <is>
          <t>Dev 1 - MFGR10-9124 - Customer Print Statements - Page is loading endlessly when previously it loaded quickly</t>
        </is>
      </c>
      <c r="R4" s="7" t="inlineStr"/>
      <c r="S4" s="7" t="inlineStr">
        <is>
          <t>Done</t>
        </is>
      </c>
      <c r="T4" s="7" t="inlineStr"/>
    </row>
    <row r="5">
      <c r="A5" s="2" t="n">
        <v>46094.32798505787</v>
      </c>
      <c r="B5" s="3" t="n">
        <v>46090.48782631945</v>
      </c>
      <c r="C5" s="2" t="n">
        <v>46090</v>
      </c>
      <c r="D5" s="2" t="n">
        <v>46091</v>
      </c>
      <c r="E5" s="2" t="n"/>
      <c r="F5" s="2" t="n">
        <v>46090</v>
      </c>
      <c r="G5" s="4" t="inlineStr">
        <is>
          <t>DEV</t>
        </is>
      </c>
      <c r="H5" s="4" t="n">
        <v>12</v>
      </c>
      <c r="I5" s="4">
        <f>IF(ISBLANK(A5),0,(A5-C5)*8)</f>
        <v/>
      </c>
      <c r="J5" s="4" t="n">
        <v>0</v>
      </c>
      <c r="K5" s="5">
        <f>I5-IF(ISBLANK(D5),0,IF(NOT(ISBLANK(E5)),(E5-D5)*8,IF(NOT(ISBLANK(A5)),(A5-D5)*8,0)))-(J5*8)</f>
        <v/>
      </c>
      <c r="L5" s="6">
        <f>IF(K5&gt;0,H5-K5,0)</f>
        <v/>
      </c>
      <c r="M5" s="4" t="inlineStr">
        <is>
          <t>Adrian Rojas</t>
        </is>
      </c>
      <c r="N5" s="4" t="inlineStr">
        <is>
          <t>Adrian Rojas</t>
        </is>
      </c>
      <c r="O5" s="4" t="inlineStr">
        <is>
          <t>MFGR10 - MFGROW - Deacom</t>
        </is>
      </c>
      <c r="P5" s="4" t="inlineStr">
        <is>
          <t>MFGR10-44072</t>
        </is>
      </c>
      <c r="Q5" s="7" t="inlineStr">
        <is>
          <t>Dev 1 - MFGR10-44071 - 17.03.010.0003 dbo.dxdflt updater error</t>
        </is>
      </c>
      <c r="R5" s="7" t="inlineStr">
        <is>
          <t>Inmediate workaround. To unblock the QA environment right now (without a code fix): There is a row in  dxdflt  — with empty/NULL data — causing the  ALTER TABLE ALTER COLUMN df_somrpfacility nvarchar(30) NOT NULL  to fail because that row had NULL in the original column state. Delete this row with DELETE FROM dxdflt WHERE df_id = 2; Then re-run the updater.   I will add a guard in the updater that will fix this issue. This would be available in next build release.</t>
        </is>
      </c>
      <c r="S5" s="7" t="inlineStr">
        <is>
          <t>Done</t>
        </is>
      </c>
      <c r="T5" s="7" t="inlineStr"/>
    </row>
    <row r="6">
      <c r="A6" s="2" t="n">
        <v>46094.40862050926</v>
      </c>
      <c r="B6" s="3" t="n">
        <v>46091.40273607639</v>
      </c>
      <c r="C6" s="2" t="n">
        <v>46092</v>
      </c>
      <c r="D6" s="2" t="n">
        <v>46092</v>
      </c>
      <c r="E6" s="2" t="n"/>
      <c r="F6" s="2" t="n">
        <v>46091</v>
      </c>
      <c r="G6" s="4" t="inlineStr">
        <is>
          <t>DEV</t>
        </is>
      </c>
      <c r="H6" s="4" t="n">
        <v>16</v>
      </c>
      <c r="I6" s="4">
        <f>IF(ISBLANK(A6),0,(A6-C6)*8)</f>
        <v/>
      </c>
      <c r="J6" s="4" t="n">
        <v>0</v>
      </c>
      <c r="K6" s="5">
        <f>I6-IF(ISBLANK(D6),0,IF(NOT(ISBLANK(E6)),(E6-D6)*8,IF(NOT(ISBLANK(A6)),(A6-D6)*8,0)))-(J6*8)</f>
        <v/>
      </c>
      <c r="L6" s="6">
        <f>IF(K6&gt;0,H6-K6,0)</f>
        <v/>
      </c>
      <c r="M6" s="4" t="inlineStr">
        <is>
          <t>David Suarez</t>
        </is>
      </c>
      <c r="N6" s="4" t="inlineStr">
        <is>
          <t>Adrian Rojas</t>
        </is>
      </c>
      <c r="O6" s="4" t="inlineStr">
        <is>
          <t>MFGR10 - MFGROW - Deacom</t>
        </is>
      </c>
      <c r="P6" s="4" t="inlineStr">
        <is>
          <t>MFGR10-44095</t>
        </is>
      </c>
      <c r="Q6" s="7" t="inlineStr">
        <is>
          <t>Dev 1 - MFGR10-44093 - SR- Henry Broch - Copy QC Group on Receipt Throws Error - 04364454</t>
        </is>
      </c>
      <c r="R6" s="7" t="inlineStr"/>
      <c r="S6" s="7" t="inlineStr">
        <is>
          <t>Done</t>
        </is>
      </c>
      <c r="T6" s="7" t="inlineStr"/>
    </row>
    <row r="7">
      <c r="A7" s="2" t="n">
        <v>46086.26472915509</v>
      </c>
      <c r="B7" s="3" t="n">
        <v>46080.40570997685</v>
      </c>
      <c r="C7" s="2" t="n">
        <v>46083</v>
      </c>
      <c r="D7" s="2" t="n"/>
      <c r="E7" s="2" t="n"/>
      <c r="F7" s="2" t="n">
        <v>46083</v>
      </c>
      <c r="G7" s="4" t="inlineStr">
        <is>
          <t>DEV</t>
        </is>
      </c>
      <c r="H7" s="4" t="n">
        <v>0</v>
      </c>
      <c r="I7" s="4">
        <f>IF(ISBLANK(A7),0,(A7-C7)*8)</f>
        <v/>
      </c>
      <c r="J7" s="4" t="n">
        <v>0</v>
      </c>
      <c r="K7" s="5">
        <f>I7-IF(ISBLANK(D7),0,IF(NOT(ISBLANK(E7)),(E7-D7)*8,IF(NOT(ISBLANK(A7)),(A7-D7)*8,0)))-(J7*8)</f>
        <v/>
      </c>
      <c r="L7" s="6">
        <f>IF(K7&gt;0,H7-K7,0)</f>
        <v/>
      </c>
      <c r="M7" s="4" t="inlineStr">
        <is>
          <t>Cristian Guzman Villca</t>
        </is>
      </c>
      <c r="N7" s="4" t="inlineStr">
        <is>
          <t>Cristian Guzman Villca</t>
        </is>
      </c>
      <c r="O7" s="4" t="inlineStr">
        <is>
          <t>MFGR10 - MFGROW - Deacom</t>
        </is>
      </c>
      <c r="P7" s="4" t="inlineStr">
        <is>
          <t>MFGR10-43543</t>
        </is>
      </c>
      <c r="Q7" s="7" t="inlineStr">
        <is>
          <t>Dev 1 - MFGR10-43537 - Misaligned prompt on form invout</t>
        </is>
      </c>
      <c r="R7" s="7" t="inlineStr"/>
      <c r="S7" s="7" t="inlineStr">
        <is>
          <t>Done</t>
        </is>
      </c>
      <c r="T7" s="7" t="inlineStr"/>
    </row>
    <row r="8">
      <c r="A8" s="2" t="n">
        <v>46091.39332871528</v>
      </c>
      <c r="B8" s="3" t="n">
        <v>45994.61266133102</v>
      </c>
      <c r="C8" s="2" t="n">
        <v>46087</v>
      </c>
      <c r="D8" s="2" t="n"/>
      <c r="E8" s="2" t="n"/>
      <c r="F8" s="2" t="n">
        <v>46087</v>
      </c>
      <c r="G8" s="4" t="inlineStr">
        <is>
          <t>DEV</t>
        </is>
      </c>
      <c r="H8" s="4" t="n">
        <v>12</v>
      </c>
      <c r="I8" s="4">
        <f>IF(ISBLANK(A8),0,(A8-C8)*8)</f>
        <v/>
      </c>
      <c r="J8" s="4" t="n">
        <v>0</v>
      </c>
      <c r="K8" s="5">
        <f>I8-IF(ISBLANK(D8),0,IF(NOT(ISBLANK(E8)),(E8-D8)*8,IF(NOT(ISBLANK(A8)),(A8-D8)*8,0)))-(J8*8)</f>
        <v/>
      </c>
      <c r="L8" s="6">
        <f>IF(K8&gt;0,H8-K8,0)</f>
        <v/>
      </c>
      <c r="M8" s="4" t="inlineStr">
        <is>
          <t>Cristian Guzman Villca</t>
        </is>
      </c>
      <c r="N8" s="4" t="inlineStr">
        <is>
          <t>Cristian Guzman Villca</t>
        </is>
      </c>
      <c r="O8" s="4" t="inlineStr">
        <is>
          <t>MFGR10 - MFGROW - Deacom</t>
        </is>
      </c>
      <c r="P8" s="4" t="inlineStr">
        <is>
          <t>MFGR10-36493</t>
        </is>
      </c>
      <c r="Q8" s="7" t="inlineStr">
        <is>
          <t>Exec 1 - MFGR10-36492 - SR- Shipped ICT Inventory Doubling when Received at Facility</t>
        </is>
      </c>
      <c r="R8" s="7" t="inlineStr"/>
      <c r="S8" s="7" t="inlineStr">
        <is>
          <t>Done</t>
        </is>
      </c>
      <c r="T8" s="7" t="inlineStr"/>
    </row>
    <row r="9">
      <c r="A9" s="2" t="n">
        <v>46094.62796332176</v>
      </c>
      <c r="B9" s="3" t="n">
        <v>46091.39288069445</v>
      </c>
      <c r="C9" s="2" t="n">
        <v>46091</v>
      </c>
      <c r="D9" s="2" t="n"/>
      <c r="E9" s="2" t="n"/>
      <c r="F9" s="2" t="n">
        <v>46091</v>
      </c>
      <c r="G9" s="4" t="inlineStr">
        <is>
          <t>DEV</t>
        </is>
      </c>
      <c r="H9" s="4" t="n">
        <v>12</v>
      </c>
      <c r="I9" s="4">
        <f>IF(ISBLANK(A9),0,(A9-C9)*8)</f>
        <v/>
      </c>
      <c r="J9" s="4" t="n">
        <v>0</v>
      </c>
      <c r="K9" s="5">
        <f>I9-IF(ISBLANK(D9),0,IF(NOT(ISBLANK(E9)),(E9-D9)*8,IF(NOT(ISBLANK(A9)),(A9-D9)*8,0)))-(J9*8)</f>
        <v/>
      </c>
      <c r="L9" s="6">
        <f>IF(K9&gt;0,H9-K9,0)</f>
        <v/>
      </c>
      <c r="M9" s="4" t="inlineStr">
        <is>
          <t>Cristian Guzman Villca</t>
        </is>
      </c>
      <c r="N9" s="4" t="inlineStr">
        <is>
          <t>Cristian Guzman Villca</t>
        </is>
      </c>
      <c r="O9" s="4" t="inlineStr">
        <is>
          <t>MFGR10 - MFGROW - Deacom</t>
        </is>
      </c>
      <c r="P9" s="4" t="inlineStr">
        <is>
          <t>MFGR10-44089</t>
        </is>
      </c>
      <c r="Q9" s="7" t="inlineStr">
        <is>
          <t>Dev 1 - MFGR10-36492 - SR- Shipped ICT Inventory Doubling when Received at Facility</t>
        </is>
      </c>
      <c r="R9" s="7" t="inlineStr"/>
      <c r="S9" s="7" t="inlineStr">
        <is>
          <t>Done</t>
        </is>
      </c>
      <c r="T9" s="7" t="inlineStr"/>
    </row>
    <row r="10">
      <c r="A10" s="8" t="n"/>
      <c r="B10" s="9" t="n">
        <v>46036.68482585648</v>
      </c>
      <c r="C10" s="8" t="n">
        <v>46087</v>
      </c>
      <c r="D10" s="8" t="n"/>
      <c r="E10" s="8" t="n"/>
      <c r="F10" s="8" t="n">
        <v>46086</v>
      </c>
      <c r="G10" s="10" t="inlineStr">
        <is>
          <t>DEV</t>
        </is>
      </c>
      <c r="H10" s="10" t="n">
        <v>40</v>
      </c>
      <c r="I10" s="10">
        <f>IF(ISBLANK(A10),0,(A10-C10)*8)</f>
        <v/>
      </c>
      <c r="J10" s="10" t="n">
        <v>0</v>
      </c>
      <c r="K10" s="11">
        <f>I10-IF(ISBLANK(D10),0,IF(NOT(ISBLANK(E10)),(E10-D10)*8,IF(NOT(ISBLANK(A10)),(A10-D10)*8,0)))-(J10*8)</f>
        <v/>
      </c>
      <c r="L10" s="6">
        <f>IF(K10&gt;0,H10-K10,0)</f>
        <v/>
      </c>
      <c r="M10" s="10" t="inlineStr">
        <is>
          <t>David Suarez</t>
        </is>
      </c>
      <c r="N10" s="10" t="inlineStr">
        <is>
          <t>David Suarez</t>
        </is>
      </c>
      <c r="O10" s="10" t="inlineStr">
        <is>
          <t>MFGR10 - MFGROW - Deacom</t>
        </is>
      </c>
      <c r="P10" s="10" t="inlineStr">
        <is>
          <t>MFGR10-39644</t>
        </is>
      </c>
      <c r="Q10" s="12" t="inlineStr">
        <is>
          <t xml:space="preserve">Dev 1 - MFGR10-39642 - SR- Re: ECI - Case: 04107623 Cash Flow Report Correction Assistance - Follow-up Question from Customer  </t>
        </is>
      </c>
      <c r="R10" s="12" t="inlineStr"/>
      <c r="S10" s="12" t="inlineStr">
        <is>
          <t>In Progress</t>
        </is>
      </c>
      <c r="T10" s="12" t="inlineStr"/>
    </row>
    <row r="11">
      <c r="A11" s="2" t="n">
        <v>46091.40792525463</v>
      </c>
      <c r="B11" s="3" t="n">
        <v>46083.29790396991</v>
      </c>
      <c r="C11" s="2" t="n">
        <v>46083</v>
      </c>
      <c r="D11" s="2" t="n">
        <v>46085</v>
      </c>
      <c r="E11" s="2" t="n"/>
      <c r="F11" s="2" t="n">
        <v>46083</v>
      </c>
      <c r="G11" s="4" t="inlineStr">
        <is>
          <t>DEV</t>
        </is>
      </c>
      <c r="H11" s="4" t="n">
        <v>24</v>
      </c>
      <c r="I11" s="4">
        <f>IF(ISBLANK(A11),0,(A11-C11)*8)</f>
        <v/>
      </c>
      <c r="J11" s="4" t="n">
        <v>0</v>
      </c>
      <c r="K11" s="5">
        <f>I11-IF(ISBLANK(D11),0,IF(NOT(ISBLANK(E11)),(E11-D11)*8,IF(NOT(ISBLANK(A11)),(A11-D11)*8,0)))-(J11*8)</f>
        <v/>
      </c>
      <c r="L11" s="6">
        <f>IF(K11&gt;0,H11-K11,0)</f>
        <v/>
      </c>
      <c r="M11" s="4" t="inlineStr">
        <is>
          <t>Henry Barboza</t>
        </is>
      </c>
      <c r="N11" s="4" t="inlineStr">
        <is>
          <t>Henry Barboza</t>
        </is>
      </c>
      <c r="O11" s="4" t="inlineStr">
        <is>
          <t>MFGR10 - MFGROW - Deacom</t>
        </is>
      </c>
      <c r="P11" s="4" t="inlineStr">
        <is>
          <t>MFGR10-43578</t>
        </is>
      </c>
      <c r="Q11" s="7" t="inlineStr">
        <is>
          <t>Dev 1 - MFGR10-43299 - SR- EDI 947 failure</t>
        </is>
      </c>
      <c r="R11" s="7" t="inlineStr"/>
      <c r="S11" s="7" t="inlineStr">
        <is>
          <t>Done</t>
        </is>
      </c>
      <c r="T11" s="7" t="inlineStr"/>
    </row>
    <row r="12">
      <c r="A12" s="2" t="n">
        <v>46090.43912025463</v>
      </c>
      <c r="B12" s="3" t="n">
        <v>46035.43609381944</v>
      </c>
      <c r="C12" s="2" t="n">
        <v>46085</v>
      </c>
      <c r="D12" s="2" t="n">
        <v>46090</v>
      </c>
      <c r="E12" s="2" t="n"/>
      <c r="F12" s="2" t="n">
        <v>46085</v>
      </c>
      <c r="G12" s="4" t="inlineStr">
        <is>
          <t>DEV</t>
        </is>
      </c>
      <c r="H12" s="4" t="n">
        <v>40</v>
      </c>
      <c r="I12" s="4">
        <f>IF(ISBLANK(A12),0,(A12-C12)*8)</f>
        <v/>
      </c>
      <c r="J12" s="4" t="n">
        <v>0</v>
      </c>
      <c r="K12" s="5">
        <f>I12-IF(ISBLANK(D12),0,IF(NOT(ISBLANK(E12)),(E12-D12)*8,IF(NOT(ISBLANK(A12)),(A12-D12)*8,0)))-(J12*8)</f>
        <v/>
      </c>
      <c r="L12" s="6">
        <f>IF(K12&gt;0,H12-K12,0)</f>
        <v/>
      </c>
      <c r="M12" s="4" t="inlineStr">
        <is>
          <t>Jason McNeeley</t>
        </is>
      </c>
      <c r="N12" s="4" t="inlineStr">
        <is>
          <t>Henry Barboza</t>
        </is>
      </c>
      <c r="O12" s="4" t="inlineStr">
        <is>
          <t>MFGR10 - MFGROW - Deacom</t>
        </is>
      </c>
      <c r="P12" s="4" t="inlineStr">
        <is>
          <t>MFGR10-39422</t>
        </is>
      </c>
      <c r="Q12" s="7" t="inlineStr">
        <is>
          <t>Dev 1 - MFGR10-39421 - SR- Forecast vs Actuals in Forecast</t>
        </is>
      </c>
      <c r="R12" s="7" t="inlineStr"/>
      <c r="S12" s="7" t="inlineStr">
        <is>
          <t>Done</t>
        </is>
      </c>
      <c r="T12" s="7" t="inlineStr"/>
    </row>
    <row r="13">
      <c r="A13" s="2" t="n">
        <v>46091.65865862268</v>
      </c>
      <c r="B13" s="3" t="n">
        <v>46086.69312271991</v>
      </c>
      <c r="C13" s="2" t="n">
        <v>46090</v>
      </c>
      <c r="D13" s="2" t="n">
        <v>46091</v>
      </c>
      <c r="E13" s="2" t="n"/>
      <c r="F13" s="2" t="n">
        <v>46090</v>
      </c>
      <c r="G13" s="4" t="inlineStr">
        <is>
          <t>DEV</t>
        </is>
      </c>
      <c r="H13" s="4" t="n">
        <v>12</v>
      </c>
      <c r="I13" s="4">
        <f>IF(ISBLANK(A13),0,(A13-C13)*8)</f>
        <v/>
      </c>
      <c r="J13" s="4" t="n">
        <v>0</v>
      </c>
      <c r="K13" s="5">
        <f>I13-IF(ISBLANK(D13),0,IF(NOT(ISBLANK(E13)),(E13-D13)*8,IF(NOT(ISBLANK(A13)),(A13-D13)*8,0)))-(J13*8)</f>
        <v/>
      </c>
      <c r="L13" s="6">
        <f>IF(K13&gt;0,H13-K13,0)</f>
        <v/>
      </c>
      <c r="M13" s="4" t="inlineStr">
        <is>
          <t>David Suarez</t>
        </is>
      </c>
      <c r="N13" s="4" t="inlineStr">
        <is>
          <t>Henry Barboza</t>
        </is>
      </c>
      <c r="O13" s="4" t="inlineStr">
        <is>
          <t>MFGR10 - MFGROW - Deacom</t>
        </is>
      </c>
      <c r="P13" s="4" t="inlineStr">
        <is>
          <t>MFGR10-44054</t>
        </is>
      </c>
      <c r="Q13" s="7" t="inlineStr">
        <is>
          <t>Exec 1 - MFGR10-44053 - SR- Morrison Lamothe: Morrison Lamothe: Financial statement issue</t>
        </is>
      </c>
      <c r="R13" s="7" t="inlineStr"/>
      <c r="S13" s="7" t="inlineStr">
        <is>
          <t>Done</t>
        </is>
      </c>
      <c r="T13" s="7" t="inlineStr"/>
    </row>
    <row r="14">
      <c r="A14" s="8" t="n"/>
      <c r="B14" s="9" t="n">
        <v>46091.51278561343</v>
      </c>
      <c r="C14" s="8" t="n">
        <v>46091</v>
      </c>
      <c r="D14" s="8" t="n"/>
      <c r="E14" s="8" t="n"/>
      <c r="F14" s="8" t="n">
        <v>46091</v>
      </c>
      <c r="G14" s="10" t="inlineStr">
        <is>
          <t>CurrentVersion</t>
        </is>
      </c>
      <c r="H14" s="10" t="n">
        <v>20</v>
      </c>
      <c r="I14" s="10">
        <f>IF(ISBLANK(A14),0,(A14-C14)*8)</f>
        <v/>
      </c>
      <c r="J14" s="10" t="n">
        <v>0</v>
      </c>
      <c r="K14" s="11">
        <f>I14-IF(ISBLANK(D14),0,IF(NOT(ISBLANK(E14)),(E14-D14)*8,IF(NOT(ISBLANK(A14)),(A14-D14)*8,0)))-(J14*8)</f>
        <v/>
      </c>
      <c r="L14" s="6">
        <f>IF(K14&gt;0,H14-K14,0)</f>
        <v/>
      </c>
      <c r="M14" s="10" t="inlineStr">
        <is>
          <t>Henry Barboza</t>
        </is>
      </c>
      <c r="N14" s="10" t="inlineStr">
        <is>
          <t>Henry Barboza</t>
        </is>
      </c>
      <c r="O14" s="10" t="inlineStr">
        <is>
          <t>MFGR10 - MFGROW - Deacom</t>
        </is>
      </c>
      <c r="P14" s="10" t="inlineStr">
        <is>
          <t>MFGR10-44209</t>
        </is>
      </c>
      <c r="Q14" s="12" t="inlineStr">
        <is>
          <t>Dev 1 - MFGR10-44208 - SR- Inventory Discrepancies when Receiving Transfers via WMS</t>
        </is>
      </c>
      <c r="R14" s="12" t="inlineStr"/>
      <c r="S14" s="12" t="inlineStr">
        <is>
          <t>In Progress</t>
        </is>
      </c>
      <c r="T14" s="12" t="inlineStr"/>
    </row>
    <row r="15">
      <c r="A15" s="8" t="n"/>
      <c r="B15" s="9" t="n">
        <v>46072.50841493055</v>
      </c>
      <c r="C15" s="8" t="n">
        <v>46091</v>
      </c>
      <c r="D15" s="8" t="n">
        <v>46092</v>
      </c>
      <c r="E15" s="8" t="n">
        <v>46093</v>
      </c>
      <c r="F15" s="8" t="n">
        <v>46090</v>
      </c>
      <c r="G15" s="10" t="inlineStr">
        <is>
          <t>API</t>
        </is>
      </c>
      <c r="H15" s="10" t="n">
        <v>24</v>
      </c>
      <c r="I15" s="10">
        <f>IF(ISBLANK(A15),0,(A15-C15)*8)</f>
        <v/>
      </c>
      <c r="J15" s="10" t="n">
        <v>0</v>
      </c>
      <c r="K15" s="11">
        <f>I15-IF(ISBLANK(D15),0,IF(NOT(ISBLANK(E15)),(E15-D15)*8,IF(NOT(ISBLANK(A15)),(A15-D15)*8,0)))-(J15*8)</f>
        <v/>
      </c>
      <c r="L15" s="6">
        <f>IF(K15&gt;0,H15-K15,0)</f>
        <v/>
      </c>
      <c r="M15" s="10" t="inlineStr">
        <is>
          <t>David Suarez</t>
        </is>
      </c>
      <c r="N15" s="10" t="inlineStr">
        <is>
          <t>Jose Arcani</t>
        </is>
      </c>
      <c r="O15" s="10" t="inlineStr">
        <is>
          <t>MFGR10 - MFGROW - Deacom</t>
        </is>
      </c>
      <c r="P15" s="10" t="inlineStr">
        <is>
          <t>MFGR10-42726</t>
        </is>
      </c>
      <c r="Q15" s="12" t="inlineStr">
        <is>
          <t>Dev 1 - MFGR10-42724 - CS AR - Invoices with Pre-Auth</t>
        </is>
      </c>
      <c r="R15" s="12" t="inlineStr"/>
      <c r="S15" s="12" t="inlineStr">
        <is>
          <t>In Progress</t>
        </is>
      </c>
      <c r="T15" s="12" t="inlineStr"/>
    </row>
    <row r="16">
      <c r="A16" s="2" t="n">
        <v>46090.54894576389</v>
      </c>
      <c r="B16" s="3" t="n">
        <v>46087.39277993055</v>
      </c>
      <c r="C16" s="2" t="n"/>
      <c r="D16" s="2" t="n"/>
      <c r="E16" s="2" t="n"/>
      <c r="F16" s="2" t="n">
        <v>46087</v>
      </c>
      <c r="G16" s="4" t="inlineStr">
        <is>
          <t>CurrentVersion</t>
        </is>
      </c>
      <c r="H16" s="4" t="n">
        <v>0</v>
      </c>
      <c r="I16" s="4">
        <f>IF(ISBLANK(A16),0,(A16-C16)*8)</f>
        <v/>
      </c>
      <c r="J16" s="4" t="n">
        <v>0</v>
      </c>
      <c r="K16" s="5">
        <f>I16-IF(ISBLANK(D16),0,IF(NOT(ISBLANK(E16)),(E16-D16)*8,IF(NOT(ISBLANK(A16)),(A16-D16)*8,0)))-(J16*8)</f>
        <v/>
      </c>
      <c r="L16" s="6">
        <f>IF(K16&gt;0,H16-K16,0)</f>
        <v/>
      </c>
      <c r="M16" s="4" t="inlineStr">
        <is>
          <t>MFGROW Webhook</t>
        </is>
      </c>
      <c r="N16" s="4" t="inlineStr">
        <is>
          <t>Rodrigo Alarcon Vargas</t>
        </is>
      </c>
      <c r="O16" s="4" t="inlineStr">
        <is>
          <t>MFGR10 - MFGROW - Deacom</t>
        </is>
      </c>
      <c r="P16" s="4" t="inlineStr">
        <is>
          <t>MFGR10-44056</t>
        </is>
      </c>
      <c r="Q16" s="7" t="inlineStr">
        <is>
          <t>Dev 2 - MFGR10-42821 - SR- All Inventory moved by accident</t>
        </is>
      </c>
      <c r="R16" s="7" t="inlineStr"/>
      <c r="S16" s="7" t="inlineStr">
        <is>
          <t>Done</t>
        </is>
      </c>
      <c r="T16" s="7" t="inlineStr"/>
    </row>
    <row r="17">
      <c r="A17" s="2" t="n">
        <v>46087.32448564815</v>
      </c>
      <c r="B17" s="3" t="n">
        <v>46069.46236604167</v>
      </c>
      <c r="C17" s="2" t="n">
        <v>46083</v>
      </c>
      <c r="D17" s="2" t="n"/>
      <c r="E17" s="2" t="n"/>
      <c r="F17" s="2" t="n">
        <v>46083</v>
      </c>
      <c r="G17" s="4" t="inlineStr">
        <is>
          <t>DEV</t>
        </is>
      </c>
      <c r="H17" s="4" t="n">
        <v>12</v>
      </c>
      <c r="I17" s="4">
        <f>IF(ISBLANK(A17),0,(A17-C17)*8)</f>
        <v/>
      </c>
      <c r="J17" s="4" t="n">
        <v>0</v>
      </c>
      <c r="K17" s="5">
        <f>I17-IF(ISBLANK(D17),0,IF(NOT(ISBLANK(E17)),(E17-D17)*8,IF(NOT(ISBLANK(A17)),(A17-D17)*8,0)))-(J17*8)</f>
        <v/>
      </c>
      <c r="L17" s="6">
        <f>IF(K17&gt;0,H17-K17,0)</f>
        <v/>
      </c>
      <c r="M17" s="4" t="inlineStr">
        <is>
          <t>Rodrigo Alarcon Vargas</t>
        </is>
      </c>
      <c r="N17" s="4" t="inlineStr">
        <is>
          <t>Rodrigo Alarcon Vargas</t>
        </is>
      </c>
      <c r="O17" s="4" t="inlineStr">
        <is>
          <t>MFGR10 - MFGROW - Deacom</t>
        </is>
      </c>
      <c r="P17" s="4" t="inlineStr">
        <is>
          <t>MFGR10-42318</t>
        </is>
      </c>
      <c r="Q17" s="7" t="inlineStr">
        <is>
          <t>Exec 1 - MFGR10-42317 - SR- DEV Request | DSD | Begin scoping for what it would take to have NET 1 Integrated with our DSD</t>
        </is>
      </c>
      <c r="R17" s="7" t="inlineStr"/>
      <c r="S17" s="7" t="inlineStr">
        <is>
          <t>Done</t>
        </is>
      </c>
      <c r="T17" s="7" t="inlineStr"/>
    </row>
    <row r="18">
      <c r="A18" s="2" t="n">
        <v>46092.64947896991</v>
      </c>
      <c r="B18" s="3" t="n">
        <v>46085.48651065972</v>
      </c>
      <c r="C18" s="2" t="n">
        <v>46092</v>
      </c>
      <c r="D18" s="2" t="n"/>
      <c r="E18" s="2" t="n"/>
      <c r="F18" s="2" t="n">
        <v>46085</v>
      </c>
      <c r="G18" s="4" t="inlineStr">
        <is>
          <t>DEV</t>
        </is>
      </c>
      <c r="H18" s="4" t="n">
        <v>20</v>
      </c>
      <c r="I18" s="4">
        <f>IF(ISBLANK(A18),0,(A18-C18)*8)</f>
        <v/>
      </c>
      <c r="J18" s="4" t="n">
        <v>0</v>
      </c>
      <c r="K18" s="5">
        <f>I18-IF(ISBLANK(D18),0,IF(NOT(ISBLANK(E18)),(E18-D18)*8,IF(NOT(ISBLANK(A18)),(A18-D18)*8,0)))-(J18*8)</f>
        <v/>
      </c>
      <c r="L18" s="6">
        <f>IF(K18&gt;0,H18-K18,0)</f>
        <v/>
      </c>
      <c r="M18" s="4" t="inlineStr">
        <is>
          <t>David Suarez</t>
        </is>
      </c>
      <c r="N18" s="4" t="inlineStr">
        <is>
          <t>Rodrigo Alarcon Vargas</t>
        </is>
      </c>
      <c r="O18" s="4" t="inlineStr">
        <is>
          <t>MFGR10 - MFGROW - Deacom</t>
        </is>
      </c>
      <c r="P18" s="4" t="inlineStr">
        <is>
          <t>MFGR10-43893</t>
        </is>
      </c>
      <c r="Q18" s="7" t="inlineStr">
        <is>
          <t>Dev 1 - MFGR10-43892 - Chrome - User gets log out if a new browser tab is open with another Deacom connection</t>
        </is>
      </c>
      <c r="R18" s="7" t="inlineStr"/>
      <c r="S18" s="7" t="inlineStr">
        <is>
          <t>Done</t>
        </is>
      </c>
      <c r="T18" s="7" t="inlineStr"/>
    </row>
    <row r="19">
      <c r="A19" s="13" t="n"/>
      <c r="B19" s="14" t="n">
        <v>46090.53138081019</v>
      </c>
      <c r="C19" s="13" t="n">
        <v>46090</v>
      </c>
      <c r="D19" s="13" t="n">
        <v>46092</v>
      </c>
      <c r="E19" s="13" t="n"/>
      <c r="F19" s="13" t="n">
        <v>46090</v>
      </c>
      <c r="G19" s="15" t="inlineStr">
        <is>
          <t>DEV</t>
        </is>
      </c>
      <c r="H19" s="15" t="n">
        <v>16</v>
      </c>
      <c r="I19" s="15">
        <f>IF(ISBLANK(A19),0,(A19-C19)*8)</f>
        <v/>
      </c>
      <c r="J19" s="15" t="n">
        <v>0</v>
      </c>
      <c r="K19" s="16">
        <f>I19-IF(ISBLANK(D19),0,IF(NOT(ISBLANK(E19)),(E19-D19)*8,IF(NOT(ISBLANK(A19)),(A19-D19)*8,0)))-(J19*8)</f>
        <v/>
      </c>
      <c r="L19" s="6">
        <f>IF(K19&gt;0,H19-K19,0)</f>
        <v/>
      </c>
      <c r="M19" s="15" t="inlineStr">
        <is>
          <t>Rodrigo Alarcon Vargas</t>
        </is>
      </c>
      <c r="N19" s="15" t="inlineStr">
        <is>
          <t>Rodrigo Alarcon Vargas</t>
        </is>
      </c>
      <c r="O19" s="15" t="inlineStr">
        <is>
          <t>MFGR10 - MFGROW - Deacom</t>
        </is>
      </c>
      <c r="P19" s="15" t="inlineStr">
        <is>
          <t>MFGR10-44078</t>
        </is>
      </c>
      <c r="Q19" s="17" t="inlineStr">
        <is>
          <t>Dev 1 - MFGR10-44073 - “Inventory - allow move without source location” permission not enforced in WMS</t>
        </is>
      </c>
      <c r="R19" s="17" t="inlineStr"/>
      <c r="S19" s="17" t="inlineStr">
        <is>
          <t>To Do</t>
        </is>
      </c>
      <c r="T19" s="17" t="inlineStr"/>
    </row>
    <row r="20">
      <c r="A20" s="8" t="n"/>
      <c r="B20" s="9" t="n">
        <v>46087.32533887732</v>
      </c>
      <c r="C20" s="8" t="n">
        <v>46087</v>
      </c>
      <c r="D20" s="8" t="n">
        <v>46090</v>
      </c>
      <c r="E20" s="8" t="n">
        <v>46092</v>
      </c>
      <c r="F20" s="8" t="n">
        <v>46087</v>
      </c>
      <c r="G20" s="10" t="inlineStr">
        <is>
          <t>DEV</t>
        </is>
      </c>
      <c r="H20" s="10" t="n">
        <v>32</v>
      </c>
      <c r="I20" s="10">
        <f>IF(ISBLANK(A20),0,(A20-C20)*8)</f>
        <v/>
      </c>
      <c r="J20" s="10" t="n">
        <v>0</v>
      </c>
      <c r="K20" s="11">
        <f>I20-IF(ISBLANK(D20),0,IF(NOT(ISBLANK(E20)),(E20-D20)*8,IF(NOT(ISBLANK(A20)),(A20-D20)*8,0)))-(J20*8)</f>
        <v/>
      </c>
      <c r="L20" s="6">
        <f>IF(K20&gt;0,H20-K20,0)</f>
        <v/>
      </c>
      <c r="M20" s="10" t="inlineStr">
        <is>
          <t>Rodrigo Alarcon Vargas</t>
        </is>
      </c>
      <c r="N20" s="10" t="inlineStr">
        <is>
          <t>Rodrigo Alarcon Vargas</t>
        </is>
      </c>
      <c r="O20" s="10" t="inlineStr">
        <is>
          <t>MFGR10 - MFGROW - Deacom</t>
        </is>
      </c>
      <c r="P20" s="10" t="inlineStr">
        <is>
          <t>MFGR10-44055</t>
        </is>
      </c>
      <c r="Q20" s="12" t="inlineStr">
        <is>
          <t>Dev 1 - MFGR10-42317 - SR- DEV Request | DSD | Begin scoping for what it would take to have NET 1 Integrated with our DSD</t>
        </is>
      </c>
      <c r="R20" s="12" t="inlineStr"/>
      <c r="S20" s="12" t="inlineStr">
        <is>
          <t>In Progress</t>
        </is>
      </c>
      <c r="T20" s="12" t="inlineStr"/>
    </row>
  </sheetData>
  <autoFilter ref="A1:T20"/>
  <conditionalFormatting sqref="L2:L20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2026-03-13T21:26:15Z</dcterms:created>
  <dcterms:modified xsi:type="dcterms:W3CDTF">2026-03-13T21:26:15Z</dcterms:modified>
</cp:coreProperties>
</file>