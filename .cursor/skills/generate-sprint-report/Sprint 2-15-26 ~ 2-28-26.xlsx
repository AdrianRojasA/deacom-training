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jalacorp-my.sharepoint.com/personal/david_suarez_jalasoft_com/Documents/Documents/Reports/Feb26 Reports/"/>
    </mc:Choice>
  </mc:AlternateContent>
  <xr:revisionPtr revIDLastSave="2" documentId="8_{BE3A32AA-8177-4FE1-B415-FFAFF7660D5B}" xr6:coauthVersionLast="47" xr6:coauthVersionMax="47" xr10:uidLastSave="{D213F102-605A-405B-81D0-0662BBDDC698}"/>
  <bookViews>
    <workbookView xWindow="-28920" yWindow="-120" windowWidth="29040" windowHeight="15720" xr2:uid="{8192C53B-8146-41DF-9FF0-19D449F30E66}"/>
  </bookViews>
  <sheets>
    <sheet name="Sprint 2-15-26 | 2-28-26" sheetId="1" r:id="rId1"/>
    <sheet name="Charts"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4" i="2" l="1"/>
  <c r="C25" i="2"/>
  <c r="C26" i="2"/>
  <c r="C27" i="2"/>
  <c r="C28" i="2"/>
  <c r="C29" i="2" s="1"/>
  <c r="C30" i="2" s="1"/>
  <c r="C31" i="2" s="1"/>
  <c r="C23" i="2"/>
  <c r="D22" i="2"/>
  <c r="D23" i="2" s="1"/>
  <c r="D24" i="2" s="1"/>
  <c r="D25" i="2" s="1"/>
  <c r="D26" i="2" s="1"/>
  <c r="D27" i="2" s="1"/>
  <c r="D28" i="2" s="1"/>
  <c r="D29" i="2" s="1"/>
  <c r="D30" i="2" s="1"/>
  <c r="D31" i="2" s="1"/>
  <c r="I59" i="1"/>
  <c r="K59" i="1" s="1"/>
  <c r="L59" i="1" s="1"/>
  <c r="I58" i="1"/>
  <c r="K58" i="1" s="1"/>
  <c r="L58" i="1" s="1"/>
  <c r="I57" i="1"/>
  <c r="K57" i="1" s="1"/>
  <c r="L57" i="1" s="1"/>
  <c r="I56" i="1"/>
  <c r="K56" i="1" s="1"/>
  <c r="L56" i="1" s="1"/>
  <c r="I55" i="1"/>
  <c r="K55" i="1" s="1"/>
  <c r="L55" i="1" s="1"/>
  <c r="I54" i="1"/>
  <c r="K54" i="1" s="1"/>
  <c r="L54" i="1" s="1"/>
  <c r="I53" i="1"/>
  <c r="K53" i="1" s="1"/>
  <c r="L53" i="1" s="1"/>
  <c r="I52" i="1"/>
  <c r="K52" i="1" s="1"/>
  <c r="L52" i="1" s="1"/>
  <c r="I51" i="1"/>
  <c r="K51" i="1" s="1"/>
  <c r="L51" i="1" s="1"/>
  <c r="I50" i="1"/>
  <c r="K50" i="1" s="1"/>
  <c r="L50" i="1" s="1"/>
  <c r="I49" i="1"/>
  <c r="K49" i="1" s="1"/>
  <c r="L49" i="1" s="1"/>
  <c r="I48" i="1"/>
  <c r="K48" i="1" s="1"/>
  <c r="L48" i="1" s="1"/>
  <c r="I47" i="1"/>
  <c r="K47" i="1" s="1"/>
  <c r="L47" i="1" s="1"/>
  <c r="I46" i="1"/>
  <c r="K46" i="1" s="1"/>
  <c r="L46" i="1" s="1"/>
  <c r="I45" i="1"/>
  <c r="K45" i="1" s="1"/>
  <c r="L45" i="1" s="1"/>
  <c r="I44" i="1"/>
  <c r="K44" i="1" s="1"/>
  <c r="L44" i="1" s="1"/>
  <c r="I43" i="1"/>
  <c r="K43" i="1" s="1"/>
  <c r="L43" i="1" s="1"/>
  <c r="I42" i="1"/>
  <c r="K42" i="1" s="1"/>
  <c r="L42" i="1" s="1"/>
  <c r="I41" i="1"/>
  <c r="K41" i="1" s="1"/>
  <c r="L41" i="1" s="1"/>
  <c r="I40" i="1"/>
  <c r="K40" i="1" s="1"/>
  <c r="L40" i="1" s="1"/>
  <c r="I39" i="1"/>
  <c r="K39" i="1" s="1"/>
  <c r="L39" i="1" s="1"/>
  <c r="I38" i="1"/>
  <c r="K38" i="1" s="1"/>
  <c r="L38" i="1" s="1"/>
  <c r="I37" i="1"/>
  <c r="K37" i="1" s="1"/>
  <c r="L37" i="1" s="1"/>
  <c r="I36" i="1"/>
  <c r="K36" i="1" s="1"/>
  <c r="L36" i="1" s="1"/>
  <c r="I35" i="1"/>
  <c r="K35" i="1" s="1"/>
  <c r="L35" i="1" s="1"/>
  <c r="I34" i="1"/>
  <c r="K34" i="1" s="1"/>
  <c r="L34" i="1" s="1"/>
  <c r="I33" i="1"/>
  <c r="K33" i="1" s="1"/>
  <c r="L33" i="1" s="1"/>
  <c r="I32" i="1"/>
  <c r="K32" i="1" s="1"/>
  <c r="L32" i="1" s="1"/>
  <c r="I31" i="1"/>
  <c r="K31" i="1" s="1"/>
  <c r="L31" i="1" s="1"/>
  <c r="I30" i="1"/>
  <c r="K30" i="1" s="1"/>
  <c r="L30" i="1" s="1"/>
  <c r="I29" i="1"/>
  <c r="K29" i="1" s="1"/>
  <c r="L29" i="1" s="1"/>
  <c r="I28" i="1"/>
  <c r="K28" i="1" s="1"/>
  <c r="L28" i="1" s="1"/>
  <c r="I27" i="1"/>
  <c r="K27" i="1" s="1"/>
  <c r="L27" i="1" s="1"/>
  <c r="I26" i="1"/>
  <c r="K26" i="1" s="1"/>
  <c r="L26" i="1" s="1"/>
  <c r="I25" i="1"/>
  <c r="K25" i="1" s="1"/>
  <c r="L25" i="1" s="1"/>
  <c r="I24" i="1"/>
  <c r="K24" i="1" s="1"/>
  <c r="L24" i="1" s="1"/>
  <c r="I23" i="1"/>
  <c r="K23" i="1" s="1"/>
  <c r="L23" i="1" s="1"/>
  <c r="I22" i="1"/>
  <c r="K22" i="1" s="1"/>
  <c r="L22" i="1" s="1"/>
  <c r="I21" i="1"/>
  <c r="K21" i="1" s="1"/>
  <c r="L21" i="1" s="1"/>
  <c r="I19" i="1"/>
  <c r="K19" i="1" s="1"/>
  <c r="L19" i="1" s="1"/>
  <c r="I18" i="1"/>
  <c r="K18" i="1" s="1"/>
  <c r="L18" i="1" s="1"/>
  <c r="I20" i="1"/>
  <c r="K20" i="1" s="1"/>
  <c r="L20" i="1" s="1"/>
  <c r="I17" i="1"/>
  <c r="K17" i="1" s="1"/>
  <c r="L17" i="1" s="1"/>
  <c r="I16" i="1"/>
  <c r="K16" i="1" s="1"/>
  <c r="L16" i="1" s="1"/>
  <c r="I15" i="1"/>
  <c r="K15" i="1" s="1"/>
  <c r="L15" i="1" s="1"/>
  <c r="I14" i="1"/>
  <c r="K14" i="1" s="1"/>
  <c r="L14" i="1" s="1"/>
  <c r="I13" i="1"/>
  <c r="K13" i="1" s="1"/>
  <c r="L13" i="1" s="1"/>
  <c r="I11" i="1"/>
  <c r="K11" i="1" s="1"/>
  <c r="L11" i="1" s="1"/>
  <c r="I12" i="1"/>
  <c r="K12" i="1" s="1"/>
  <c r="L12" i="1" s="1"/>
  <c r="I10" i="1"/>
  <c r="K10" i="1" s="1"/>
  <c r="L10" i="1" s="1"/>
  <c r="I9" i="1"/>
  <c r="K9" i="1" s="1"/>
  <c r="L9" i="1" s="1"/>
  <c r="I8" i="1"/>
  <c r="K8" i="1" s="1"/>
  <c r="L8" i="1" s="1"/>
  <c r="I7" i="1"/>
  <c r="K7" i="1" s="1"/>
  <c r="L7" i="1" s="1"/>
  <c r="I2" i="1"/>
  <c r="K2" i="1" s="1"/>
  <c r="L2" i="1" s="1"/>
  <c r="I3" i="1"/>
  <c r="K3" i="1" s="1"/>
  <c r="L3" i="1" s="1"/>
  <c r="I6" i="1"/>
  <c r="K6" i="1" s="1"/>
  <c r="L6" i="1" s="1"/>
  <c r="I5" i="1"/>
  <c r="K5" i="1" s="1"/>
  <c r="L5" i="1" s="1"/>
  <c r="I4" i="1"/>
  <c r="K4" i="1" s="1"/>
  <c r="L4" i="1" s="1"/>
</calcChain>
</file>

<file path=xl/sharedStrings.xml><?xml version="1.0" encoding="utf-8"?>
<sst xmlns="http://schemas.openxmlformats.org/spreadsheetml/2006/main" count="194" uniqueCount="113">
  <si>
    <t>Finished Date</t>
  </si>
  <si>
    <t>Create Date</t>
  </si>
  <si>
    <t>Started Date</t>
  </si>
  <si>
    <t>On Hold Date</t>
  </si>
  <si>
    <t>Re-Started Date</t>
  </si>
  <si>
    <t>Assignation Date</t>
  </si>
  <si>
    <t>Label</t>
  </si>
  <si>
    <t xml:space="preserve">Estimation </t>
  </si>
  <si>
    <t>Completed</t>
  </si>
  <si>
    <t>Non Workable Days</t>
  </si>
  <si>
    <t>Real Worked time</t>
  </si>
  <si>
    <t>Difference est and real</t>
  </si>
  <si>
    <t>Assigned By</t>
  </si>
  <si>
    <t>Dev</t>
  </si>
  <si>
    <t>Project</t>
  </si>
  <si>
    <t>Jira Ticket Number</t>
  </si>
  <si>
    <t>Ticket Name</t>
  </si>
  <si>
    <t>Resolution Details</t>
  </si>
  <si>
    <t>Status</t>
  </si>
  <si>
    <t>Effort Comments</t>
  </si>
  <si>
    <t>DEV</t>
  </si>
  <si>
    <t>Webhook</t>
  </si>
  <si>
    <t>Adrian Rojas</t>
  </si>
  <si>
    <t>MFGROW - Deacom</t>
  </si>
  <si>
    <t>MFGR10-43111</t>
  </si>
  <si>
    <t>Dev 2 - MFGR10-36827 - SR- Trigger – PDF Attachment failing to send with trigger email</t>
  </si>
  <si>
    <t>**Intended functionality
This ticket was discussed with Branko and is working as expected for this client. We found another client with a surgical version that needs to broaden this solution for a different report layout configuration that always uses a currency converter when querying grids. This will be reviewed and updated on [MFGR10-42834|https://eci-solutions.atlassian.net/browse/MFGR10-42834]</t>
  </si>
  <si>
    <t>Done</t>
  </si>
  <si>
    <t>IN-SPRINT</t>
  </si>
  <si>
    <t>David Suarez</t>
  </si>
  <si>
    <t>MFGR10-42027</t>
  </si>
  <si>
    <t>Dev 1 - MFGR10-42026 - Improper caption on staging1 form layout editor</t>
  </si>
  <si>
    <t>Resolution: There was generic GUID for that checbox in the frm file
Dev Changes:
staging1.frm GUID replaced from: 
"CaptionLookup": "00000000-0000-0000-0000-000000000000",
to   "CaptionLookup": "7632613f-0fd4-4b9f-a612-805a3149c20a", Which is the caption for “Print lot labels”
Dev Validations:
# System &gt; Maintenance &gt; Form Layouts &gt; Select staging1 &gt; See ‘CheckBox’ caption* is “Print Lot Labels”</t>
  </si>
  <si>
    <t>MFGR10-42023</t>
  </si>
  <si>
    <t>Dev 1 - MFGR10-41713 - SR- Tropicale - MRP Job Scheduling Quantity Discrepancies</t>
  </si>
  <si>
    <t>Sub-assembly requirement is now taken from the **unrounded** BOM requirement (`dispcnt`) when building Create Job lines, with fallback to `bocount` when `dispcnt` is zero. Grouped BOM output was extended to carry `dispcnt`, `basebocount`, and `bo_nonscaleableqty` so downstream ratio and scaling use the correct per-parent quantities. SA lines now scale correctly from the parent/top-level quantity on the job.
Code changes:  `1703\Framework\Deacom.BusinessClasses\Job.cs`
In the grouped `DS_BOMLineItem` projection: added `dispcnt`, `basebocount`, and `bo_nonscaleableqty` so aggregated BOM lines expose unrounded quantities and non-scale flag. 
Step validations:
# Navigate to Inventory&gt;MRP
# Select Part Number 16031
# View
# Expand
# Double click 'No' to switch to 'Yes'
# Create Job from Top. Select Lubbock Plant.
# Click Continue.
# Select revision LUB-01-16031 and quantity = 5250
# You should see a job created with revision LUB-01-16031  and lines:
## BAT497 - 18,439.4175
## BAT498 - 20,176.6425
## BAT499 - 17,249.8597635
# In case lines quantities are different somehow, these should be the values shown should be the same as the BOM calculation:
## go to Inventory&gt;Bills of Material
## Part Number 16031
## View
## View BOM for Revision LUB-01-16031
## BOM TYPE Explosion/Single Level
## Quantity 5250
## Notice the qty's for the BAT Items should be the same as the job created in MRP</t>
  </si>
  <si>
    <t>MFGR10-42008</t>
  </si>
  <si>
    <t>Dev 2 - MFGR10-41623 - Caption issues across a couple of forms</t>
  </si>
  <si>
    <t>Resolution: Additional form related to previous issue was pointing to the default “Deacom” caption. Updated to the correct GUID solved the issue. 
Dev Changes:
Updated from {{88c9a569-d4a3-487c-a950-bfa2ba377acf}} which is the default “Deacom” caption to the correct ones for “User Group” and “Edit Scheduled Event”
Dev Validations:
# Navigate to System &gt; Maintenance &gt; Form Layouts &gt; Click ‘New’ &gt; Filter for schedimpdata &gt; select it &gt; *See* “Edit Scheduled Event” searchbox
!Screenshot 2026-02-19 103429-20260219-143429.png|width=331,alt="Screenshot 2026-02-19 103429-20260219-143429.png"!
# Naviaget to System &gt; Maintenance &gt; Form Layouts &gt; Click ‘New’ &gt; Filter for wmslayoutadd &gt; select it &gt; *See* “User Group” *search box*
!Screenshot 2026-02-19 103451-20260219-143452.png|width=372,alt="Screenshot 2026-02-19 103451-20260219-143452.png"!</t>
  </si>
  <si>
    <t>MFGR10-41714</t>
  </si>
  <si>
    <t>Exec 1 - MFGR10-41713 - SR- Tropicale - MRP Job Scheduling Quantity Discrepancies</t>
  </si>
  <si>
    <t>Needs further investigation and code fix. Reproduced a different issue on the same feature. 
*Originally from the ticket*
Lines 1-3 have planned quantities of 21000. If you click into the BAT lines and click "Scale to Job Lines' the quantity updates to match the BOM. 
*Actual behavior* 
Only one part BAT499 has a different value from the BOM weights
!Screenshot 2026-02-12 103450-20260212-143451 (6117fc4b-d333-48ed-bbbc-a6103ea0d27b).png|width=450,alt="Screenshot 2026-02-12 103450-20260212-143451.png"!
To validate BOM inputs, go to Inventory&gt;Bills of Material
Part Number 16031
View
View BOM for Revision LUB-01-16031
BOM TYPE Explosion/Single Level
Quantity 5250
Notice the following qty's for the BAT Items:
BAT497 - 18,439.4175
BAT498 - 20,176.6425
BAT499 - 17,249.8597635
!Screenshot 2026-02-12 174432-20260212-214433 (cc9c7341-5fa9-467d-9449-2b8bfbf49d73).png|width=450,alt="Screenshot 2026-02-12 174432-20260212-214433.png"!
Also there is no straightforward way to Scale to job lines in the job entry form so it updates the quantities correctly.
This needs to be corrected, creating Dev 1 subtask to further research and fix the problem.</t>
  </si>
  <si>
    <t>MFGR10-42865</t>
  </si>
  <si>
    <t>Dev 1 - MFGR10-42834 - Currency ID is not a number Error when sending email trigger with PDF attachment</t>
  </si>
  <si>
    <t>To Do</t>
  </si>
  <si>
    <t>MFGR10-42030</t>
  </si>
  <si>
    <t>Dev 1 - MFGR10-42029 - MVC Global Timers sometimes create duplicate security entries</t>
  </si>
  <si>
    <t>Resolution and Dev Changes:
Change the method GetSystemUser on User.cs file in order to at the moment to execute the automated timers delete the records from dxok entries that will be changed by the creation of the system user. 
Dev Validations:
# Be sure that the Automated Processes are set to run 
# Run the app
# if the system user didn’t have some permissions before to run the app check that it have them and they won’t be duplicated</t>
  </si>
  <si>
    <t>MFGR10-43308</t>
  </si>
  <si>
    <t>Dev 1 - MFGR10-43307 - SR- McShares - Unable to save facility Phone and Fax numbers that contain dashes - 04346753</t>
  </si>
  <si>
    <t>In Progress</t>
  </si>
  <si>
    <t>MFGR10-42700</t>
  </si>
  <si>
    <t>Exec 1 - MFGR10-42699 - SR- Deacom Web Services stopping during printing</t>
  </si>
  <si>
    <t>Henry Barboza</t>
  </si>
  <si>
    <t>MFGR10-42720</t>
  </si>
  <si>
    <t xml:space="preserve">Dev 1 - MFGR10-42716 - Accounting Invoice - Invoice shows as zero amount and automatically paid when posted directly from Invoice Entry </t>
  </si>
  <si>
    <t>+*Resolution:*+
Invoice no longer shows a zero amount and is no longer automatically paid when posted directly from Invoice Entry.
+*Dev Changes:*+
Post was using {{POLineItems}}, but that list didn’t include the newly saved lines, so the amounts were wrong. The fix makes Post use {{lsPOLines}}, the fresh lines from the form, ensuring the amounts are processed correctly.
The changes were pushed to the main branches 17.03+.
+*Dev Validations:*+
Steps to reproduce: \\Server8\QA\Customer Test Systems\QA - 17.03 Test
# Login to Deacom
# Navigate to Accounting &gt; Invoice Entry
# Fill in the Invoice Number and other required fields (add at least one Line, making sure it has a Quantity and Unit Price &gt; 0).
# Click Post button.
# Go to Accounting &gt; Invoice Reporting
## Report Type: Invoice Summary
## View: All
## Start Date: Current date
# Click View. Look for the invoice you have created.
# Observe the amount is greater than 0 and it was not automatically paid.
# Go back to Invoice Reporting
# Enter the Invoice Number you created (see from step 7, e.g. 2026-0018082)
# Click Un-Invoice and confirm the message. Note that no prompt is displayed and the Un-Invoice was performed successfully.
# Click View, then View Postings. The details will display.
+Demo:+
!2026-02-25-20260225-171418.gif|width=665,alt="2026-02-25-20260225-171418.gif"!</t>
  </si>
  <si>
    <t>MFGR10-42438</t>
  </si>
  <si>
    <t>Exec 1 - MFGR10-42437 - SR- Error in Phantom Parts MRP</t>
  </si>
  <si>
    <t>+*Resolution:*+
**Training ticket**
The issue was caused by a configuration error. Part 5D, which is the parent of PAIL5DOTA in the BOM and functions as the phantom/kitted assembly, had the Stocked property set to false in the Item Master.
In ECI Deacom, the MRP/BOM explosion process only includes items that are marked as Stocked. Non‑stocked items are excluded from the MRP explosion, and therefore their components do not generate visible job demand.
Because 5D was non‑stocked, MRP excluded it from the BOM explosion, preventing its lower‑level components, including PAIL5DOTA, from appearing in Job Requirements.
!image-20260220-191144.png|width=574,alt="image-20260220-191144.png"!
Updating 5D to {{Stocked = true}} allowed MRP to include it in the BOM explosion. As a result, the job demand propagated correctly to its components, and PAIL5DOTA began showing the expected Job Requirements.
!image-20260220-192806.png|width=665,alt="image-20260220-192806.png"!
+Documentation:+
_”The 'Stocked' property typically determines whether the system maintains a perpetual inventory balance for the item. When unchecked (non-stocked), MRP usually ignores these items for replenishment calculations because they are often considered 'expensed' or 'direct-buy' items. If an item is non-stocked, MRP typically will not generate planned orders or visibility for it unless it is specifically linked to a job or sales order requirement.”_
+Reference images (BOM):+
!image-20260220-212448.png|width=665,alt="image-20260220-212448.png"!
!image-20260220-212504.png|width=665,alt="image-20260220-212504.png"!
!image-20260220-212512.png|width=665,alt="image-20260220-212512.png"!</t>
  </si>
  <si>
    <t>MFGR10-43300</t>
  </si>
  <si>
    <t>Exec 1 - MFGR10-43299 - SR- EDI 947 failure</t>
  </si>
  <si>
    <t>Inventory adjustment EDI imports can fail with the message “[item] is not allowed to go negative” even when there is enough on-hand. This occurs when the import file has alternating debit and credit rows for the same item (e.g. -3072, +3072, -3072, +3072). The first debit and the following credit are processed correctly, but the next debit fails because the posting logic does not consider the lot that was just created by the previous credit. The in-memory list of lots used for relieving is not updated when new lots are received in the same lot, so a later debit sees no available quantity and triggers the “not allowed to go negative” error. This is a defect in the inventory posting logic, not a data or configuration issue. A code change is required to fix it, and a defect ticket will be created to implement the fix.</t>
  </si>
  <si>
    <t>MFGR10-20921</t>
  </si>
  <si>
    <t>Exec 1 - MFGR10-20920 - SR- View Bom is showing different calcs between versions.</t>
  </si>
  <si>
    <t>Jose Arcani</t>
  </si>
  <si>
    <t>MFGR10-43116</t>
  </si>
  <si>
    <t>Dev 1 - MFGR10-43112 - SR- Printing Job labels from the Job Summary | View Detail Screen</t>
  </si>
  <si>
    <t>*Resolution:*
Fixed by another ticket
The ticket MFGR10-37721 fixed this for 1703+, the issue was found in {{surgicals/Universal17.03.009.0007}} and it requires the following commits.
Commit 1 - If the labels cursor contains the column 'seqnum', ensure we are updating the seqnum as we add labels to the cursor.
{{eae497cb11d6e76fdff71c4de7881d8fec78cd54}}
Commit 2: - Build failure fix. There can be times when the Labels cursor has a count of 0. If this is the case, simply set the seqnum = 1, instead of trying to run Max() on the cursor column.
{{0772a1e6a3f68830d713320483d0858d9dbc4454}}
This fixes the LSE when modifying the qty before printing the labels
*Dev Changes:*
No dev changes
*Dev Validations*
# Go To Production &gt; Job Summary
# Find the Job 2025-25950
# click view
# In the Job Summary, click view details
# Click on the button Job Labels
# Print - You can change printer to screen
# Click Printer ICON
# Print Part Forms - will pop up
# Then, for the case labels, change the Qty of number of labels (these are the last Two)
# Update Print qty and save
# ** the system does not create an extra line at the top
# Click Print
# ** no LSE appears at this time</t>
  </si>
  <si>
    <t>MFGR10-43102</t>
  </si>
  <si>
    <t>Exec 1 - MFGR10-43101 - SR- Unable to Modifying the SO Address Label  Print Qty in Print Part Forms for the Customer VitaKraft</t>
  </si>
  <si>
    <t>*Resolution:*
Fixed by another ticket
The issue still happens for this client because their branch {{surgicals/VDF17.03.009.0003}} requires the following commits from MFGR10-37721:
Commit 1 - If the labels cursor contains the column 'seqnum', ensure we are updating the seqnum as we add labels to the cursor.
{{eae497cb11d6e76fdff71c4de7881d8fec78cd54}}
Commit 2: - Build failure fix. There can be times when the Labels cursor has a count of 0. If this is the case, simply set the seqnum = 1, instead of trying to run Max() on the cursor column.
{{0772a1e6a3f68830d713320483d0858d9dbc4454}}
This fixes the LSE when modifying the qty before printing the labels
*Dev Changes:*
No dev changes
*Dev Validations*
# Navigate to Sales - Order Reporting.
# Enter VitaKraft in the Bill-TO Company.
# Click View.
# Click View Detail.
# Click SO Labels.
# Select an option in 'Print to'
# Click Print.
# zero All
# Double click on a line with the SO Address Label.
# The info loaded in the form is correct.
# Enter a Print Qty of 1.
# Save.
# The line qty is updated, and no new line is created at the top of grid</t>
  </si>
  <si>
    <t>MFGR10-43234</t>
  </si>
  <si>
    <t>Dev 1 - MFGR10-43232 - AI Invoice - Inbox Connection</t>
  </si>
  <si>
    <t>Rodrigo Alarcon</t>
  </si>
  <si>
    <t>Rodrigo Alarcon Vargas</t>
  </si>
  <si>
    <t>MFGR10-42822</t>
  </si>
  <si>
    <t>Dev 1 - MFGR10-42821 - SR- All Inventory moved by accident</t>
  </si>
  <si>
    <t xml:space="preserve">+*Resolution:*+
Added a verification in the server as well, it is basically using the same validation that we had in the WMS code, but there are some scenarios that are not going to be hit, so the validation on the server will cover this scenario.
+*Dev Changes:*+
The validation checks the following: if we didn´t specify a system lot and we are moving the whole quantity of the part from a location to another then we will check the security for this user, specifically the Inventory – allow move of entire location security.
+*Dev Validations:*+
# On WMS, navigate to Move Inventory
# Enter 354007 as the part number
# When the Find Inventory screen pops up, click CANCEL
# Select a New Loc Type and New Loc
# Click MOVE
# It won´t move if the user has not the proper security </t>
  </si>
  <si>
    <t>MFGR10-42028</t>
  </si>
  <si>
    <t>Dev 4 - MFGR10-39138 - SR- Deacom Allowing Duplication of Form Layouts</t>
  </si>
  <si>
    <t>+*Resolution &amp; Dev Changes:*+
The branch surgicals/FlavorChem17.04.009.0004 was missing this prompt B20D1087-0AE7-4A4D-8B9D-2C44CAB6F26A. The solution was made by Frank Dreher, he updated the slqite database and pushed the changes into the surgical branch, Should be available for the QA to test.
+*Dev Validations:*+
# In all scenarios verify the prompt is no longer empty</t>
  </si>
  <si>
    <t>MFGR10-41192</t>
  </si>
  <si>
    <t>Dev 1 - MFGR10-41191 - SR- 'Require lot on receipt' at the facility level is not working</t>
  </si>
  <si>
    <t>+*Resolution:*+
'Require lot on receipt' is honored on the Receive Purchase Order Lines
+*Dev Changes:*+
* A new object was created that will contain the current configuration of the item's facility for the current facility, just for the scope of the ticket the receipt configuration for the user's lot will be taken into account
+*Dev Validations:*+
# log in
# Modify the Item Master record for part# KANI
# on the properties tab, note that 'require lot on receipt'  is not checked
# Navigate to the facilities tab and open the record for Pittsburgh
# Note that the 'require lot on receipt' field on this form is set to "Yes"
# Nav to Purchasing &gt; Receive and enter order number 2026-00-00115
# Click continue to enter the receiving screen, and note that the order is set to be received into Pittsburgh
# Modify the line for KANI, and note that the userlot is required</t>
  </si>
  <si>
    <t>On Hold / Waiting response from PC or Dev team</t>
  </si>
  <si>
    <t>Carry Over</t>
  </si>
  <si>
    <t>Real Work</t>
  </si>
  <si>
    <t>Sprint 8-17-25 | 8-30-25</t>
  </si>
  <si>
    <t>Sprint 8-31-25 | 9-13-25</t>
  </si>
  <si>
    <t>Sprint 9-14-25 | 9-27-25</t>
  </si>
  <si>
    <t>Sprint 9-28-25 | 10-11-25</t>
  </si>
  <si>
    <t>Sprint 10-12-25 | 10-25-25</t>
  </si>
  <si>
    <t>Sprint 10-26-25 | 11-8-25</t>
  </si>
  <si>
    <t>Sprint 11-9-25 | 11-22-25</t>
  </si>
  <si>
    <t>Sprint 11-23-25 | 12-6-25</t>
  </si>
  <si>
    <t>Sprint 1-4-26 | 1-17-26</t>
  </si>
  <si>
    <t>Sprint 1-18-26 | 2-1-26</t>
  </si>
  <si>
    <t>Sprint 2-1-26 | 2-14-26</t>
  </si>
  <si>
    <t>Completed Tasks</t>
  </si>
  <si>
    <t>Ideal</t>
  </si>
  <si>
    <t>Actual</t>
  </si>
  <si>
    <t>Day 1</t>
  </si>
  <si>
    <t>Day 2</t>
  </si>
  <si>
    <t>Day 3</t>
  </si>
  <si>
    <t>Day 4</t>
  </si>
  <si>
    <t>Day 5</t>
  </si>
  <si>
    <t>Day 6</t>
  </si>
  <si>
    <t>Day 7</t>
  </si>
  <si>
    <t>Day 8</t>
  </si>
  <si>
    <t>Day 9</t>
  </si>
  <si>
    <t>Day 10</t>
  </si>
  <si>
    <t>Sprint 2-14-26 | 2-28-26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</si>
</sst>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_);\(0\)"/>
  </numFmts>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CFF"/>
        <bgColor indexed="64"/>
      </patternFill>
    </fill>
    <fill>
      <patternFill patternType="solid">
        <fgColor rgb="FFFF6600"/>
        <bgColor indexed="6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4">
    <xf numFmtId="0" fontId="0" fillId="0" borderId="0" xfId="0"/>
    <xf numFmtId="1" fontId="0" fillId="0" borderId="0" xfId="0" applyNumberFormat="1"/>
    <xf numFmtId="164" fontId="0" fillId="0" borderId="0" xfId="0" applyNumberFormat="1"/>
    <xf numFmtId="0" fontId="0" fillId="0" borderId="0" xfId="0" applyAlignment="1">
      <alignment wrapText="1"/>
    </xf>
    <xf numFmtId="14" fontId="0" fillId="2" borderId="0" xfId="0" applyNumberFormat="1" applyFill="1"/>
    <xf numFmtId="0" fontId="0" fillId="2" borderId="0" xfId="0" applyFill="1"/>
    <xf numFmtId="1" fontId="0" fillId="2" borderId="0" xfId="0" applyNumberFormat="1" applyFill="1"/>
    <xf numFmtId="165" fontId="0" fillId="2" borderId="0" xfId="0" applyNumberFormat="1" applyFill="1"/>
    <xf numFmtId="14" fontId="0" fillId="0" borderId="0" xfId="0" applyNumberFormat="1"/>
    <xf numFmtId="14" fontId="0" fillId="2" borderId="1" xfId="0" applyNumberFormat="1" applyFill="1" applyBorder="1"/>
    <xf numFmtId="14" fontId="0" fillId="0" borderId="2" xfId="0" applyNumberFormat="1" applyBorder="1"/>
    <xf numFmtId="14" fontId="0" fillId="3" borderId="1" xfId="0" applyNumberFormat="1" applyFill="1" applyBorder="1"/>
    <xf numFmtId="14" fontId="0" fillId="4" borderId="1" xfId="0" applyNumberFormat="1" applyFill="1" applyBorder="1"/>
    <xf numFmtId="14" fontId="0" fillId="3" borderId="0" xfId="0" applyNumberFormat="1" applyFill="1"/>
    <xf numFmtId="0" fontId="0" fillId="3" borderId="0" xfId="0" applyFill="1"/>
    <xf numFmtId="1" fontId="0" fillId="3" borderId="0" xfId="0" applyNumberFormat="1" applyFill="1"/>
    <xf numFmtId="165" fontId="0" fillId="3" borderId="0" xfId="0" applyNumberFormat="1" applyFill="1"/>
    <xf numFmtId="14" fontId="0" fillId="4" borderId="0" xfId="0" applyNumberFormat="1" applyFill="1"/>
    <xf numFmtId="0" fontId="0" fillId="4" borderId="0" xfId="0" applyFill="1"/>
    <xf numFmtId="1" fontId="0" fillId="4" borderId="0" xfId="0" applyNumberFormat="1" applyFill="1"/>
    <xf numFmtId="165" fontId="0" fillId="4" borderId="0" xfId="0" applyNumberFormat="1" applyFill="1"/>
    <xf numFmtId="0" fontId="0" fillId="0" borderId="3" xfId="0" applyBorder="1"/>
    <xf numFmtId="1" fontId="0" fillId="0" borderId="3" xfId="0" applyNumberFormat="1" applyBorder="1"/>
    <xf numFmtId="0" fontId="0" fillId="0" borderId="4" xfId="0" applyBorder="1"/>
  </cellXfs>
  <cellStyles count="1">
    <cellStyle name="Normal" xfId="0" builtinId="0"/>
  </cellStyles>
  <dxfs count="17">
    <dxf>
      <font>
        <color rgb="FF006100"/>
      </font>
      <fill>
        <patternFill>
          <bgColor rgb="FFC6EFCE"/>
        </patternFill>
      </fill>
    </dxf>
    <dxf>
      <alignment horizontal="general" vertical="bottom" textRotation="0" wrapText="1" indent="0" justifyLastLine="0" shrinkToFit="0" readingOrder="0"/>
    </dxf>
    <dxf>
      <numFmt numFmtId="19" formatCode="m/d/yyyy"/>
    </dxf>
    <dxf>
      <numFmt numFmtId="19" formatCode="m/d/yyyy"/>
    </dxf>
    <dxf>
      <numFmt numFmtId="19" formatCode="m/d/yyyy"/>
    </dxf>
    <dxf>
      <numFmt numFmtId="165" formatCode="0_);\(0\)"/>
    </dxf>
    <dxf>
      <numFmt numFmtId="1" formatCode="0"/>
    </dxf>
    <dxf>
      <numFmt numFmtId="1" formatCode="0"/>
    </dxf>
    <dxf>
      <numFmt numFmtId="1" formatCode="0"/>
    </dxf>
    <dxf>
      <numFmt numFmtId="1" formatCode="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s>
  <tableStyles count="0" defaultTableStyle="TableStyleMedium2" defaultPivotStyle="PivotStyleLight16"/>
  <colors>
    <mruColors>
      <color rgb="FFFF6600"/>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outerShdw blurRad="50800" dist="38100" dir="5400000" algn="t" rotWithShape="0">
                    <a:srgbClr val="000000">
                      <a:alpha val="40000"/>
                    </a:srgbClr>
                  </a:outerShdw>
                </a:effectLst>
              </a:rPr>
              <a:t>Velocity(based on the estimation of the team) </a:t>
            </a:r>
            <a:r>
              <a:rPr lang="en-US"/>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Charts!$B$1</c:f>
              <c:strCache>
                <c:ptCount val="1"/>
                <c:pt idx="0">
                  <c:v>Estimation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Charts!$A$2:$A$13</c:f>
              <c:strCache>
                <c:ptCount val="12"/>
                <c:pt idx="0">
                  <c:v>Sprint 8-17-25 | 8-30-25</c:v>
                </c:pt>
                <c:pt idx="1">
                  <c:v>Sprint 8-31-25 | 9-13-25</c:v>
                </c:pt>
                <c:pt idx="2">
                  <c:v>Sprint 9-14-25 | 9-27-25</c:v>
                </c:pt>
                <c:pt idx="3">
                  <c:v>Sprint 9-28-25 | 10-11-25</c:v>
                </c:pt>
                <c:pt idx="4">
                  <c:v>Sprint 10-12-25 | 10-25-25</c:v>
                </c:pt>
                <c:pt idx="5">
                  <c:v>Sprint 10-26-25 | 11-8-25</c:v>
                </c:pt>
                <c:pt idx="6">
                  <c:v>Sprint 11-9-25 | 11-22-25</c:v>
                </c:pt>
                <c:pt idx="7">
                  <c:v>Sprint 11-23-25 | 12-6-25</c:v>
                </c:pt>
                <c:pt idx="8">
                  <c:v>Sprint 1-4-26 | 1-17-26</c:v>
                </c:pt>
                <c:pt idx="9">
                  <c:v>Sprint 1-18-26 | 2-1-26</c:v>
                </c:pt>
                <c:pt idx="10">
                  <c:v>Sprint 2-1-26 | 2-14-26</c:v>
                </c:pt>
                <c:pt idx="11">
                  <c:v>Sprint 2-14-26 | 2-28-26</c:v>
                </c:pt>
              </c:strCache>
            </c:strRef>
          </c:cat>
          <c:val>
            <c:numRef>
              <c:f>Charts!$B$2:$B$13</c:f>
              <c:numCache>
                <c:formatCode>General</c:formatCode>
                <c:ptCount val="12"/>
                <c:pt idx="0">
                  <c:v>332</c:v>
                </c:pt>
                <c:pt idx="1">
                  <c:v>340</c:v>
                </c:pt>
                <c:pt idx="2">
                  <c:v>312</c:v>
                </c:pt>
                <c:pt idx="3">
                  <c:v>348</c:v>
                </c:pt>
                <c:pt idx="4">
                  <c:v>312</c:v>
                </c:pt>
                <c:pt idx="5">
                  <c:v>376</c:v>
                </c:pt>
                <c:pt idx="6">
                  <c:v>312</c:v>
                </c:pt>
                <c:pt idx="7">
                  <c:v>284</c:v>
                </c:pt>
                <c:pt idx="8">
                  <c:v>300</c:v>
                </c:pt>
                <c:pt idx="9">
                  <c:v>456</c:v>
                </c:pt>
                <c:pt idx="10">
                  <c:v>332</c:v>
                </c:pt>
                <c:pt idx="11">
                  <c:v>252</c:v>
                </c:pt>
              </c:numCache>
            </c:numRef>
          </c:val>
          <c:smooth val="0"/>
          <c:extLst>
            <c:ext xmlns:c16="http://schemas.microsoft.com/office/drawing/2014/chart" uri="{C3380CC4-5D6E-409C-BE32-E72D297353CC}">
              <c16:uniqueId val="{00000000-0540-4B1C-87BA-C656ABDFFEB2}"/>
            </c:ext>
          </c:extLst>
        </c:ser>
        <c:dLbls>
          <c:dLblPos val="t"/>
          <c:showLegendKey val="0"/>
          <c:showVal val="1"/>
          <c:showCatName val="0"/>
          <c:showSerName val="0"/>
          <c:showPercent val="0"/>
          <c:showBubbleSize val="0"/>
        </c:dLbls>
        <c:smooth val="0"/>
        <c:axId val="754969151"/>
        <c:axId val="754968735"/>
      </c:lineChart>
      <c:catAx>
        <c:axId val="7549691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968735"/>
        <c:crosses val="autoZero"/>
        <c:auto val="1"/>
        <c:lblAlgn val="ctr"/>
        <c:lblOffset val="100"/>
        <c:noMultiLvlLbl val="0"/>
      </c:catAx>
      <c:valAx>
        <c:axId val="7549687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969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baseline="0">
                <a:effectLst/>
              </a:rPr>
              <a:t>Comparisson between estimation and real work</a:t>
            </a:r>
            <a:endParaRPr lang="en-US">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Charts!$B$1</c:f>
              <c:strCache>
                <c:ptCount val="1"/>
                <c:pt idx="0">
                  <c:v>Estimation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Charts!$A$2:$A$13</c:f>
              <c:strCache>
                <c:ptCount val="12"/>
                <c:pt idx="0">
                  <c:v>Sprint 8-17-25 | 8-30-25</c:v>
                </c:pt>
                <c:pt idx="1">
                  <c:v>Sprint 8-31-25 | 9-13-25</c:v>
                </c:pt>
                <c:pt idx="2">
                  <c:v>Sprint 9-14-25 | 9-27-25</c:v>
                </c:pt>
                <c:pt idx="3">
                  <c:v>Sprint 9-28-25 | 10-11-25</c:v>
                </c:pt>
                <c:pt idx="4">
                  <c:v>Sprint 10-12-25 | 10-25-25</c:v>
                </c:pt>
                <c:pt idx="5">
                  <c:v>Sprint 10-26-25 | 11-8-25</c:v>
                </c:pt>
                <c:pt idx="6">
                  <c:v>Sprint 11-9-25 | 11-22-25</c:v>
                </c:pt>
                <c:pt idx="7">
                  <c:v>Sprint 11-23-25 | 12-6-25</c:v>
                </c:pt>
                <c:pt idx="8">
                  <c:v>Sprint 1-4-26 | 1-17-26</c:v>
                </c:pt>
                <c:pt idx="9">
                  <c:v>Sprint 1-18-26 | 2-1-26</c:v>
                </c:pt>
                <c:pt idx="10">
                  <c:v>Sprint 2-1-26 | 2-14-26</c:v>
                </c:pt>
                <c:pt idx="11">
                  <c:v>Sprint 2-14-26 | 2-28-26</c:v>
                </c:pt>
              </c:strCache>
            </c:strRef>
          </c:cat>
          <c:val>
            <c:numRef>
              <c:f>Charts!$B$2:$B$13</c:f>
              <c:numCache>
                <c:formatCode>General</c:formatCode>
                <c:ptCount val="12"/>
                <c:pt idx="0">
                  <c:v>332</c:v>
                </c:pt>
                <c:pt idx="1">
                  <c:v>340</c:v>
                </c:pt>
                <c:pt idx="2">
                  <c:v>312</c:v>
                </c:pt>
                <c:pt idx="3">
                  <c:v>348</c:v>
                </c:pt>
                <c:pt idx="4">
                  <c:v>312</c:v>
                </c:pt>
                <c:pt idx="5">
                  <c:v>376</c:v>
                </c:pt>
                <c:pt idx="6">
                  <c:v>312</c:v>
                </c:pt>
                <c:pt idx="7">
                  <c:v>284</c:v>
                </c:pt>
                <c:pt idx="8">
                  <c:v>300</c:v>
                </c:pt>
                <c:pt idx="9">
                  <c:v>456</c:v>
                </c:pt>
                <c:pt idx="10">
                  <c:v>332</c:v>
                </c:pt>
                <c:pt idx="11">
                  <c:v>252</c:v>
                </c:pt>
              </c:numCache>
            </c:numRef>
          </c:val>
          <c:smooth val="0"/>
          <c:extLst>
            <c:ext xmlns:c16="http://schemas.microsoft.com/office/drawing/2014/chart" uri="{C3380CC4-5D6E-409C-BE32-E72D297353CC}">
              <c16:uniqueId val="{00000000-B139-4ABA-A0B0-0897D0FE3997}"/>
            </c:ext>
          </c:extLst>
        </c:ser>
        <c:ser>
          <c:idx val="1"/>
          <c:order val="1"/>
          <c:tx>
            <c:strRef>
              <c:f>Charts!$C$1</c:f>
              <c:strCache>
                <c:ptCount val="1"/>
                <c:pt idx="0">
                  <c:v>Real Work</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Charts!$A$2:$A$13</c:f>
              <c:strCache>
                <c:ptCount val="12"/>
                <c:pt idx="0">
                  <c:v>Sprint 8-17-25 | 8-30-25</c:v>
                </c:pt>
                <c:pt idx="1">
                  <c:v>Sprint 8-31-25 | 9-13-25</c:v>
                </c:pt>
                <c:pt idx="2">
                  <c:v>Sprint 9-14-25 | 9-27-25</c:v>
                </c:pt>
                <c:pt idx="3">
                  <c:v>Sprint 9-28-25 | 10-11-25</c:v>
                </c:pt>
                <c:pt idx="4">
                  <c:v>Sprint 10-12-25 | 10-25-25</c:v>
                </c:pt>
                <c:pt idx="5">
                  <c:v>Sprint 10-26-25 | 11-8-25</c:v>
                </c:pt>
                <c:pt idx="6">
                  <c:v>Sprint 11-9-25 | 11-22-25</c:v>
                </c:pt>
                <c:pt idx="7">
                  <c:v>Sprint 11-23-25 | 12-6-25</c:v>
                </c:pt>
                <c:pt idx="8">
                  <c:v>Sprint 1-4-26 | 1-17-26</c:v>
                </c:pt>
                <c:pt idx="9">
                  <c:v>Sprint 1-18-26 | 2-1-26</c:v>
                </c:pt>
                <c:pt idx="10">
                  <c:v>Sprint 2-1-26 | 2-14-26</c:v>
                </c:pt>
                <c:pt idx="11">
                  <c:v>Sprint 2-14-26 | 2-28-26</c:v>
                </c:pt>
              </c:strCache>
            </c:strRef>
          </c:cat>
          <c:val>
            <c:numRef>
              <c:f>Charts!$C$2:$C$13</c:f>
              <c:numCache>
                <c:formatCode>0</c:formatCode>
                <c:ptCount val="12"/>
                <c:pt idx="0">
                  <c:v>304</c:v>
                </c:pt>
                <c:pt idx="1">
                  <c:v>248</c:v>
                </c:pt>
                <c:pt idx="2">
                  <c:v>336</c:v>
                </c:pt>
                <c:pt idx="3">
                  <c:v>312</c:v>
                </c:pt>
                <c:pt idx="4">
                  <c:v>272</c:v>
                </c:pt>
                <c:pt idx="5">
                  <c:v>248</c:v>
                </c:pt>
                <c:pt idx="6">
                  <c:v>176</c:v>
                </c:pt>
                <c:pt idx="7">
                  <c:v>232</c:v>
                </c:pt>
                <c:pt idx="8">
                  <c:v>264</c:v>
                </c:pt>
                <c:pt idx="9">
                  <c:v>344</c:v>
                </c:pt>
                <c:pt idx="10">
                  <c:v>289</c:v>
                </c:pt>
                <c:pt idx="11">
                  <c:v>168</c:v>
                </c:pt>
              </c:numCache>
            </c:numRef>
          </c:val>
          <c:smooth val="0"/>
          <c:extLst>
            <c:ext xmlns:c16="http://schemas.microsoft.com/office/drawing/2014/chart" uri="{C3380CC4-5D6E-409C-BE32-E72D297353CC}">
              <c16:uniqueId val="{00000001-B139-4ABA-A0B0-0897D0FE3997}"/>
            </c:ext>
          </c:extLst>
        </c:ser>
        <c:dLbls>
          <c:dLblPos val="t"/>
          <c:showLegendKey val="0"/>
          <c:showVal val="1"/>
          <c:showCatName val="0"/>
          <c:showSerName val="0"/>
          <c:showPercent val="0"/>
          <c:showBubbleSize val="0"/>
        </c:dLbls>
        <c:smooth val="0"/>
        <c:axId val="817117167"/>
        <c:axId val="817108431"/>
      </c:lineChart>
      <c:catAx>
        <c:axId val="8171171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7108431"/>
        <c:crosses val="autoZero"/>
        <c:auto val="1"/>
        <c:lblAlgn val="ctr"/>
        <c:lblOffset val="100"/>
        <c:noMultiLvlLbl val="0"/>
      </c:catAx>
      <c:valAx>
        <c:axId val="817108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7117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Burndown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Charts!$B$21</c:f>
              <c:strCache>
                <c:ptCount val="1"/>
                <c:pt idx="0">
                  <c:v>Completed Tasks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Charts!$A$22:$A$31</c:f>
              <c:strCache>
                <c:ptCount val="10"/>
                <c:pt idx="0">
                  <c:v>Day 1</c:v>
                </c:pt>
                <c:pt idx="1">
                  <c:v>Day 2</c:v>
                </c:pt>
                <c:pt idx="2">
                  <c:v>Day 3</c:v>
                </c:pt>
                <c:pt idx="3">
                  <c:v>Day 4</c:v>
                </c:pt>
                <c:pt idx="4">
                  <c:v>Day 5</c:v>
                </c:pt>
                <c:pt idx="5">
                  <c:v>Day 6</c:v>
                </c:pt>
                <c:pt idx="6">
                  <c:v>Day 7</c:v>
                </c:pt>
                <c:pt idx="7">
                  <c:v>Day 8</c:v>
                </c:pt>
                <c:pt idx="8">
                  <c:v>Day 9</c:v>
                </c:pt>
                <c:pt idx="9">
                  <c:v>Day 10</c:v>
                </c:pt>
              </c:strCache>
            </c:strRef>
          </c:cat>
          <c:val>
            <c:numRef>
              <c:f>Charts!$B$22:$B$31</c:f>
              <c:numCache>
                <c:formatCode>General</c:formatCode>
                <c:ptCount val="10"/>
                <c:pt idx="0">
                  <c:v>28</c:v>
                </c:pt>
                <c:pt idx="1">
                  <c:v>0</c:v>
                </c:pt>
                <c:pt idx="2">
                  <c:v>0</c:v>
                </c:pt>
                <c:pt idx="3">
                  <c:v>0</c:v>
                </c:pt>
                <c:pt idx="4">
                  <c:v>20</c:v>
                </c:pt>
                <c:pt idx="5">
                  <c:v>0</c:v>
                </c:pt>
                <c:pt idx="6">
                  <c:v>36</c:v>
                </c:pt>
                <c:pt idx="7">
                  <c:v>12</c:v>
                </c:pt>
                <c:pt idx="8">
                  <c:v>24</c:v>
                </c:pt>
                <c:pt idx="9">
                  <c:v>52</c:v>
                </c:pt>
              </c:numCache>
            </c:numRef>
          </c:val>
          <c:smooth val="0"/>
          <c:extLst>
            <c:ext xmlns:c16="http://schemas.microsoft.com/office/drawing/2014/chart" uri="{C3380CC4-5D6E-409C-BE32-E72D297353CC}">
              <c16:uniqueId val="{00000000-CAF3-42CC-A01C-366174B83C3E}"/>
            </c:ext>
          </c:extLst>
        </c:ser>
        <c:ser>
          <c:idx val="1"/>
          <c:order val="1"/>
          <c:tx>
            <c:strRef>
              <c:f>Charts!$C$21</c:f>
              <c:strCache>
                <c:ptCount val="1"/>
                <c:pt idx="0">
                  <c:v>Ideal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Charts!$A$22:$A$31</c:f>
              <c:strCache>
                <c:ptCount val="10"/>
                <c:pt idx="0">
                  <c:v>Day 1</c:v>
                </c:pt>
                <c:pt idx="1">
                  <c:v>Day 2</c:v>
                </c:pt>
                <c:pt idx="2">
                  <c:v>Day 3</c:v>
                </c:pt>
                <c:pt idx="3">
                  <c:v>Day 4</c:v>
                </c:pt>
                <c:pt idx="4">
                  <c:v>Day 5</c:v>
                </c:pt>
                <c:pt idx="5">
                  <c:v>Day 6</c:v>
                </c:pt>
                <c:pt idx="6">
                  <c:v>Day 7</c:v>
                </c:pt>
                <c:pt idx="7">
                  <c:v>Day 8</c:v>
                </c:pt>
                <c:pt idx="8">
                  <c:v>Day 9</c:v>
                </c:pt>
                <c:pt idx="9">
                  <c:v>Day 10</c:v>
                </c:pt>
              </c:strCache>
            </c:strRef>
          </c:cat>
          <c:val>
            <c:numRef>
              <c:f>Charts!$C$22:$C$31</c:f>
              <c:numCache>
                <c:formatCode>0</c:formatCode>
                <c:ptCount val="10"/>
                <c:pt idx="0" formatCode="General">
                  <c:v>252</c:v>
                </c:pt>
                <c:pt idx="1">
                  <c:v>224</c:v>
                </c:pt>
                <c:pt idx="2">
                  <c:v>196</c:v>
                </c:pt>
                <c:pt idx="3">
                  <c:v>168</c:v>
                </c:pt>
                <c:pt idx="4">
                  <c:v>140</c:v>
                </c:pt>
                <c:pt idx="5">
                  <c:v>112</c:v>
                </c:pt>
                <c:pt idx="6">
                  <c:v>84</c:v>
                </c:pt>
                <c:pt idx="7">
                  <c:v>56</c:v>
                </c:pt>
                <c:pt idx="8">
                  <c:v>28</c:v>
                </c:pt>
                <c:pt idx="9">
                  <c:v>0</c:v>
                </c:pt>
              </c:numCache>
            </c:numRef>
          </c:val>
          <c:smooth val="0"/>
          <c:extLst>
            <c:ext xmlns:c16="http://schemas.microsoft.com/office/drawing/2014/chart" uri="{C3380CC4-5D6E-409C-BE32-E72D297353CC}">
              <c16:uniqueId val="{00000001-CAF3-42CC-A01C-366174B83C3E}"/>
            </c:ext>
          </c:extLst>
        </c:ser>
        <c:ser>
          <c:idx val="2"/>
          <c:order val="2"/>
          <c:tx>
            <c:strRef>
              <c:f>Charts!$D$21</c:f>
              <c:strCache>
                <c:ptCount val="1"/>
                <c:pt idx="0">
                  <c:v>Actual</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Charts!$A$22:$A$31</c:f>
              <c:strCache>
                <c:ptCount val="10"/>
                <c:pt idx="0">
                  <c:v>Day 1</c:v>
                </c:pt>
                <c:pt idx="1">
                  <c:v>Day 2</c:v>
                </c:pt>
                <c:pt idx="2">
                  <c:v>Day 3</c:v>
                </c:pt>
                <c:pt idx="3">
                  <c:v>Day 4</c:v>
                </c:pt>
                <c:pt idx="4">
                  <c:v>Day 5</c:v>
                </c:pt>
                <c:pt idx="5">
                  <c:v>Day 6</c:v>
                </c:pt>
                <c:pt idx="6">
                  <c:v>Day 7</c:v>
                </c:pt>
                <c:pt idx="7">
                  <c:v>Day 8</c:v>
                </c:pt>
                <c:pt idx="8">
                  <c:v>Day 9</c:v>
                </c:pt>
                <c:pt idx="9">
                  <c:v>Day 10</c:v>
                </c:pt>
              </c:strCache>
            </c:strRef>
          </c:cat>
          <c:val>
            <c:numRef>
              <c:f>Charts!$D$22:$D$31</c:f>
              <c:numCache>
                <c:formatCode>General</c:formatCode>
                <c:ptCount val="10"/>
                <c:pt idx="0">
                  <c:v>224</c:v>
                </c:pt>
                <c:pt idx="1">
                  <c:v>224</c:v>
                </c:pt>
                <c:pt idx="2">
                  <c:v>224</c:v>
                </c:pt>
                <c:pt idx="3">
                  <c:v>224</c:v>
                </c:pt>
                <c:pt idx="4">
                  <c:v>204</c:v>
                </c:pt>
                <c:pt idx="5">
                  <c:v>204</c:v>
                </c:pt>
                <c:pt idx="6">
                  <c:v>168</c:v>
                </c:pt>
                <c:pt idx="7">
                  <c:v>156</c:v>
                </c:pt>
                <c:pt idx="8">
                  <c:v>132</c:v>
                </c:pt>
                <c:pt idx="9">
                  <c:v>80</c:v>
                </c:pt>
              </c:numCache>
            </c:numRef>
          </c:val>
          <c:smooth val="0"/>
          <c:extLst>
            <c:ext xmlns:c16="http://schemas.microsoft.com/office/drawing/2014/chart" uri="{C3380CC4-5D6E-409C-BE32-E72D297353CC}">
              <c16:uniqueId val="{00000002-CAF3-42CC-A01C-366174B83C3E}"/>
            </c:ext>
          </c:extLst>
        </c:ser>
        <c:dLbls>
          <c:showLegendKey val="0"/>
          <c:showVal val="0"/>
          <c:showCatName val="0"/>
          <c:showSerName val="0"/>
          <c:showPercent val="0"/>
          <c:showBubbleSize val="0"/>
        </c:dLbls>
        <c:smooth val="0"/>
        <c:axId val="22992175"/>
        <c:axId val="22991759"/>
      </c:lineChart>
      <c:catAx>
        <c:axId val="229921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991759"/>
        <c:crosses val="autoZero"/>
        <c:auto val="1"/>
        <c:lblAlgn val="ctr"/>
        <c:lblOffset val="100"/>
        <c:noMultiLvlLbl val="0"/>
      </c:catAx>
      <c:valAx>
        <c:axId val="22991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99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16</xdr:col>
      <xdr:colOff>9525</xdr:colOff>
      <xdr:row>18</xdr:row>
      <xdr:rowOff>180974</xdr:rowOff>
    </xdr:to>
    <xdr:graphicFrame macro="">
      <xdr:nvGraphicFramePr>
        <xdr:cNvPr id="2" name="Chart 1">
          <a:extLst>
            <a:ext uri="{FF2B5EF4-FFF2-40B4-BE49-F238E27FC236}">
              <a16:creationId xmlns:a16="http://schemas.microsoft.com/office/drawing/2014/main" id="{F9298267-DE15-46B9-843E-00AD74C7E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600075</xdr:colOff>
      <xdr:row>0</xdr:row>
      <xdr:rowOff>0</xdr:rowOff>
    </xdr:from>
    <xdr:to>
      <xdr:col>28</xdr:col>
      <xdr:colOff>0</xdr:colOff>
      <xdr:row>18</xdr:row>
      <xdr:rowOff>180974</xdr:rowOff>
    </xdr:to>
    <xdr:graphicFrame macro="">
      <xdr:nvGraphicFramePr>
        <xdr:cNvPr id="3" name="Chart 2">
          <a:extLst>
            <a:ext uri="{FF2B5EF4-FFF2-40B4-BE49-F238E27FC236}">
              <a16:creationId xmlns:a16="http://schemas.microsoft.com/office/drawing/2014/main" id="{5CE7E7CF-A334-4633-B872-EB506EC42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590551</xdr:colOff>
      <xdr:row>20</xdr:row>
      <xdr:rowOff>4761</xdr:rowOff>
    </xdr:from>
    <xdr:to>
      <xdr:col>19</xdr:col>
      <xdr:colOff>19051</xdr:colOff>
      <xdr:row>49</xdr:row>
      <xdr:rowOff>9524</xdr:rowOff>
    </xdr:to>
    <xdr:graphicFrame macro="">
      <xdr:nvGraphicFramePr>
        <xdr:cNvPr id="4" name="Chart 3">
          <a:extLst>
            <a:ext uri="{FF2B5EF4-FFF2-40B4-BE49-F238E27FC236}">
              <a16:creationId xmlns:a16="http://schemas.microsoft.com/office/drawing/2014/main" id="{AB1C7F92-74AC-475F-9A4C-7EABE9545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print%202-1-26%20~%202-14-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rint 2-1-26 | 2-14-26"/>
      <sheetName val="Charts"/>
    </sheetNames>
    <sheetDataSet>
      <sheetData sheetId="0"/>
      <sheetData sheetId="1">
        <row r="1">
          <cell r="B1" t="str">
            <v xml:space="preserve">Estimation </v>
          </cell>
          <cell r="C1" t="str">
            <v>Real Work</v>
          </cell>
        </row>
        <row r="2">
          <cell r="A2" t="str">
            <v>Sprint 8-03-25 | 8-16-25</v>
          </cell>
          <cell r="B2">
            <v>320</v>
          </cell>
          <cell r="C2">
            <v>280</v>
          </cell>
        </row>
        <row r="3">
          <cell r="A3" t="str">
            <v>Sprint 8-17-25 | 8-30-25</v>
          </cell>
          <cell r="B3">
            <v>332</v>
          </cell>
          <cell r="C3">
            <v>304</v>
          </cell>
        </row>
        <row r="4">
          <cell r="A4" t="str">
            <v>Sprint 8-31-25 | 9-13-25</v>
          </cell>
          <cell r="B4">
            <v>340</v>
          </cell>
          <cell r="C4">
            <v>248</v>
          </cell>
        </row>
        <row r="5">
          <cell r="A5" t="str">
            <v>Sprint 9-14-25 | 9-27-25</v>
          </cell>
          <cell r="B5">
            <v>312</v>
          </cell>
          <cell r="C5">
            <v>336</v>
          </cell>
        </row>
        <row r="6">
          <cell r="A6" t="str">
            <v>Sprint 9-28-25 | 10-11-25</v>
          </cell>
          <cell r="B6">
            <v>348</v>
          </cell>
          <cell r="C6">
            <v>312</v>
          </cell>
        </row>
        <row r="7">
          <cell r="A7" t="str">
            <v>Sprint 10-12-25 | 10-25-25</v>
          </cell>
          <cell r="B7">
            <v>312</v>
          </cell>
          <cell r="C7">
            <v>272</v>
          </cell>
        </row>
        <row r="8">
          <cell r="A8" t="str">
            <v>Sprint 10-26-25 | 11-8-25</v>
          </cell>
          <cell r="B8">
            <v>376</v>
          </cell>
          <cell r="C8">
            <v>248</v>
          </cell>
        </row>
        <row r="9">
          <cell r="A9" t="str">
            <v>Sprint 11-9-25 | 11-22-25</v>
          </cell>
          <cell r="B9">
            <v>312</v>
          </cell>
          <cell r="C9">
            <v>176</v>
          </cell>
        </row>
        <row r="10">
          <cell r="A10" t="str">
            <v>Sprint 11-23-25 | 12-6-25</v>
          </cell>
          <cell r="B10">
            <v>284</v>
          </cell>
          <cell r="C10">
            <v>232</v>
          </cell>
        </row>
        <row r="11">
          <cell r="A11" t="str">
            <v>Sprint 1-4-26 | 1-17-26</v>
          </cell>
          <cell r="B11">
            <v>300</v>
          </cell>
          <cell r="C11">
            <v>264</v>
          </cell>
        </row>
        <row r="12">
          <cell r="A12" t="str">
            <v>Sprint 1-18-26 | 2-1-26</v>
          </cell>
          <cell r="B12">
            <v>456</v>
          </cell>
          <cell r="C12">
            <v>344</v>
          </cell>
        </row>
        <row r="13">
          <cell r="A13" t="str">
            <v>Sprint 2-1-26 | 2-14-26</v>
          </cell>
          <cell r="B13">
            <v>332</v>
          </cell>
          <cell r="C13">
            <v>289</v>
          </cell>
        </row>
        <row r="21">
          <cell r="B21" t="str">
            <v>Completed Tasks</v>
          </cell>
          <cell r="C21" t="str">
            <v>Ideal</v>
          </cell>
          <cell r="D21" t="str">
            <v>Actual</v>
          </cell>
        </row>
        <row r="22">
          <cell r="A22" t="str">
            <v>Day 1</v>
          </cell>
          <cell r="B22">
            <v>16</v>
          </cell>
          <cell r="C22">
            <v>332</v>
          </cell>
          <cell r="D22">
            <v>316</v>
          </cell>
        </row>
        <row r="23">
          <cell r="A23" t="str">
            <v>Day 2</v>
          </cell>
          <cell r="B23">
            <v>0</v>
          </cell>
          <cell r="C23">
            <v>295.11</v>
          </cell>
          <cell r="D23">
            <v>316</v>
          </cell>
        </row>
        <row r="24">
          <cell r="A24" t="str">
            <v>Day 3</v>
          </cell>
          <cell r="B24">
            <v>32</v>
          </cell>
          <cell r="C24">
            <v>258.22000000000003</v>
          </cell>
          <cell r="D24">
            <v>284</v>
          </cell>
        </row>
        <row r="25">
          <cell r="A25" t="str">
            <v>Day 4</v>
          </cell>
          <cell r="B25">
            <v>24</v>
          </cell>
          <cell r="C25">
            <v>221.33000000000004</v>
          </cell>
          <cell r="D25">
            <v>260</v>
          </cell>
        </row>
        <row r="26">
          <cell r="A26" t="str">
            <v>Day 5</v>
          </cell>
          <cell r="B26">
            <v>32</v>
          </cell>
          <cell r="C26">
            <v>184.44000000000005</v>
          </cell>
          <cell r="D26">
            <v>228</v>
          </cell>
        </row>
        <row r="27">
          <cell r="A27" t="str">
            <v>Day 6</v>
          </cell>
          <cell r="B27">
            <v>16</v>
          </cell>
          <cell r="C27">
            <v>147.55000000000007</v>
          </cell>
          <cell r="D27">
            <v>212</v>
          </cell>
        </row>
        <row r="28">
          <cell r="A28" t="str">
            <v>Day 7</v>
          </cell>
          <cell r="B28">
            <v>36</v>
          </cell>
          <cell r="C28">
            <v>110.66000000000007</v>
          </cell>
          <cell r="D28">
            <v>176</v>
          </cell>
        </row>
        <row r="29">
          <cell r="A29" t="str">
            <v>Day 8</v>
          </cell>
          <cell r="B29">
            <v>68</v>
          </cell>
          <cell r="C29">
            <v>73.770000000000067</v>
          </cell>
          <cell r="D29">
            <v>108</v>
          </cell>
        </row>
        <row r="30">
          <cell r="A30" t="str">
            <v>Day 9</v>
          </cell>
          <cell r="B30">
            <v>12</v>
          </cell>
          <cell r="C30">
            <v>36.880000000000067</v>
          </cell>
          <cell r="D30">
            <v>96</v>
          </cell>
        </row>
        <row r="31">
          <cell r="A31" t="str">
            <v>Day 10</v>
          </cell>
          <cell r="B31">
            <v>56</v>
          </cell>
          <cell r="C31">
            <v>-9.9999999999340616E-3</v>
          </cell>
          <cell r="D31">
            <v>40</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DB8595-B594-46C9-AD71-1B634C1AF471}" name="Table13456789101112131415161718192022212324252628293032333435363839414344345" displayName="Table13456789101112131415161718192022212324252628293032333435363839414344345" ref="A1:T59" totalsRowShown="0">
  <autoFilter ref="A1:T59" xr:uid="{0332B285-64A1-4B09-BF01-A03FF19657F6}"/>
  <sortState xmlns:xlrd2="http://schemas.microsoft.com/office/spreadsheetml/2017/richdata2" ref="A2:T59">
    <sortCondition ref="N1:N59"/>
  </sortState>
  <tableColumns count="20">
    <tableColumn id="1" xr3:uid="{6978B367-FC4D-4E16-B252-22268FA2F768}" name="Finished Date" dataDxfId="16"/>
    <tableColumn id="2" xr3:uid="{82E13502-3A60-493C-9695-ADD9B543DC38}" name="Create Date" dataDxfId="15"/>
    <tableColumn id="17" xr3:uid="{EFD0EFE8-9865-434F-A32F-7087A2B51209}" name="Started Date" dataDxfId="14"/>
    <tableColumn id="31" xr3:uid="{06C8D145-003F-43F9-9239-EEB523C1395D}" name="On Hold Date" dataDxfId="13"/>
    <tableColumn id="32" xr3:uid="{03A606A2-AC4A-4170-992C-D01C79A8347F}" name="Re-Started Date" dataDxfId="12"/>
    <tableColumn id="18" xr3:uid="{7E2BF10D-2C24-41BD-813E-83135795A7A4}" name="Assignation Date" dataDxfId="11"/>
    <tableColumn id="30" xr3:uid="{784B34E4-9794-413F-9319-A8C6B17941B9}" name="Label" dataDxfId="10"/>
    <tableColumn id="22" xr3:uid="{85B2D566-86A2-4F0F-9CF5-5CD428DE88A0}" name="Estimation " dataDxfId="9"/>
    <tableColumn id="23" xr3:uid="{799AC48D-B8F9-4F59-A3DC-0204B91202CF}" name="Completed" dataDxfId="8">
      <calculatedColumnFormula>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calculatedColumnFormula>
    </tableColumn>
    <tableColumn id="24" xr3:uid="{3BB84E1B-88A6-47EF-85E4-2178A3221C2D}" name="Non Workable Days" dataDxfId="7"/>
    <tableColumn id="25" xr3:uid="{829D5B87-AD03-48D6-98CD-FB783093CDA4}" name="Real Worked time" dataDxfId="6">
      <calculatedColumnFormula>Table13456789101112131415161718192022212324252628293032333435363839414344345[[#This Row],[Completed]]-Table13456789101112131415161718192022212324252628293032333435363839414344345[[#This Row],[Non Workable Days]]</calculatedColumnFormula>
    </tableColumn>
    <tableColumn id="26" xr3:uid="{A5B2E2A2-1D78-4039-885B-537ABD44837A}" name="Difference est and real" dataDxfId="5">
      <calculatedColumnFormula>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calculatedColumnFormula>
    </tableColumn>
    <tableColumn id="19" xr3:uid="{925D4FC8-7AAE-4865-A26E-43E820731192}" name="Assigned By" dataDxfId="4"/>
    <tableColumn id="21" xr3:uid="{BE0CAEB4-DABE-4F18-989C-B94E248F3FC4}" name="Dev" dataDxfId="3"/>
    <tableColumn id="16" xr3:uid="{65969186-9480-4E6D-B931-86C26C1EA0E1}" name="Project" dataDxfId="2"/>
    <tableColumn id="3" xr3:uid="{71F885C1-5B7C-4033-8D30-7BAFE2F257CF}" name="Jira Ticket Number"/>
    <tableColumn id="20" xr3:uid="{7F41B218-C07F-43A5-91D9-B02113CC83F7}" name="Ticket Name"/>
    <tableColumn id="4" xr3:uid="{BC6EFE99-8872-451C-9559-BC31C9C490F2}" name="Resolution Details"/>
    <tableColumn id="10" xr3:uid="{A18D627F-C237-4540-9FCA-C7C11FD45A08}" name="Status"/>
    <tableColumn id="15" xr3:uid="{874798B9-07D2-4E81-8C8C-4D552A46C25F}" name="Effort Comments"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03E9D-40C7-475D-A581-2F036911B8D8}">
  <dimension ref="A1:T59"/>
  <sheetViews>
    <sheetView tabSelected="1" workbookViewId="0">
      <selection activeCell="A2" sqref="A2"/>
    </sheetView>
  </sheetViews>
  <sheetFormatPr defaultRowHeight="15" x14ac:dyDescent="0.25"/>
  <cols>
    <col min="1" max="1" width="15.5703125" bestFit="1" customWidth="1"/>
    <col min="2" max="2" width="15.7109375" customWidth="1"/>
    <col min="3" max="3" width="14.28515625" bestFit="1" customWidth="1"/>
    <col min="4" max="4" width="15" bestFit="1" customWidth="1"/>
    <col min="5" max="5" width="17.42578125" bestFit="1" customWidth="1"/>
    <col min="6" max="6" width="18.28515625" bestFit="1" customWidth="1"/>
    <col min="7" max="7" width="17" bestFit="1" customWidth="1"/>
    <col min="8" max="9" width="13.140625" bestFit="1" customWidth="1"/>
    <col min="10" max="10" width="21" bestFit="1" customWidth="1"/>
    <col min="11" max="11" width="19.5703125" bestFit="1" customWidth="1"/>
    <col min="12" max="12" width="23.85546875" bestFit="1" customWidth="1"/>
    <col min="13" max="13" width="15.42578125" bestFit="1" customWidth="1"/>
    <col min="14" max="14" width="15.140625" bestFit="1" customWidth="1"/>
    <col min="15" max="15" width="18.42578125" bestFit="1" customWidth="1"/>
    <col min="16" max="16" width="20" bestFit="1" customWidth="1"/>
    <col min="17" max="17" width="80" customWidth="1"/>
    <col min="18" max="18" width="62" customWidth="1"/>
    <col min="19" max="19" width="17.5703125" bestFit="1" customWidth="1"/>
    <col min="20" max="20" width="54.85546875" customWidth="1"/>
  </cols>
  <sheetData>
    <row r="1" spans="1:20" x14ac:dyDescent="0.25">
      <c r="A1" t="s">
        <v>0</v>
      </c>
      <c r="B1" t="s">
        <v>1</v>
      </c>
      <c r="C1" t="s">
        <v>2</v>
      </c>
      <c r="D1" t="s">
        <v>3</v>
      </c>
      <c r="E1" t="s">
        <v>4</v>
      </c>
      <c r="F1" t="s">
        <v>5</v>
      </c>
      <c r="G1" t="s">
        <v>6</v>
      </c>
      <c r="H1" s="1" t="s">
        <v>7</v>
      </c>
      <c r="I1" s="1" t="s">
        <v>8</v>
      </c>
      <c r="J1" s="1" t="s">
        <v>9</v>
      </c>
      <c r="K1" s="1" t="s">
        <v>10</v>
      </c>
      <c r="L1" s="2" t="s">
        <v>11</v>
      </c>
      <c r="M1" t="s">
        <v>12</v>
      </c>
      <c r="N1" t="s">
        <v>13</v>
      </c>
      <c r="O1" t="s">
        <v>14</v>
      </c>
      <c r="P1" t="s">
        <v>15</v>
      </c>
      <c r="Q1" t="s">
        <v>16</v>
      </c>
      <c r="R1" t="s">
        <v>17</v>
      </c>
      <c r="S1" t="s">
        <v>18</v>
      </c>
      <c r="T1" s="3" t="s">
        <v>19</v>
      </c>
    </row>
    <row r="2" spans="1:20" s="5" customFormat="1" x14ac:dyDescent="0.25">
      <c r="A2" s="4">
        <v>46065</v>
      </c>
      <c r="B2" s="4">
        <v>46064.495833333334</v>
      </c>
      <c r="C2" s="4">
        <v>46064</v>
      </c>
      <c r="D2" s="4"/>
      <c r="F2" s="4">
        <v>46064</v>
      </c>
      <c r="G2" s="5" t="s">
        <v>28</v>
      </c>
      <c r="H2" s="5">
        <v>12</v>
      </c>
      <c r="I2"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8</v>
      </c>
      <c r="K2" s="6">
        <f>Table13456789101112131415161718192022212324252628293032333435363839414344345[[#This Row],[Completed]]-Table13456789101112131415161718192022212324252628293032333435363839414344345[[#This Row],[Non Workable Days]]</f>
        <v>8</v>
      </c>
      <c r="L2"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4</v>
      </c>
      <c r="M2" s="5" t="s">
        <v>22</v>
      </c>
      <c r="N2" s="5" t="s">
        <v>22</v>
      </c>
      <c r="O2" s="5" t="s">
        <v>23</v>
      </c>
      <c r="P2" s="5" t="s">
        <v>39</v>
      </c>
      <c r="Q2" s="5" t="s">
        <v>40</v>
      </c>
      <c r="R2" s="5" t="s">
        <v>41</v>
      </c>
      <c r="S2" s="5" t="s">
        <v>27</v>
      </c>
    </row>
    <row r="3" spans="1:20" s="5" customFormat="1" x14ac:dyDescent="0.25">
      <c r="A3" s="4">
        <v>46073</v>
      </c>
      <c r="B3" s="4">
        <v>46065.477083333331</v>
      </c>
      <c r="C3" s="4">
        <v>46072</v>
      </c>
      <c r="F3" s="4">
        <v>46065</v>
      </c>
      <c r="G3" s="5" t="s">
        <v>28</v>
      </c>
      <c r="H3" s="5">
        <v>8</v>
      </c>
      <c r="I3"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8</v>
      </c>
      <c r="K3" s="6">
        <f>Table13456789101112131415161718192022212324252628293032333435363839414344345[[#This Row],[Completed]]-Table13456789101112131415161718192022212324252628293032333435363839414344345[[#This Row],[Non Workable Days]]</f>
        <v>8</v>
      </c>
      <c r="L3"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3" s="5" t="s">
        <v>21</v>
      </c>
      <c r="N3" s="5" t="s">
        <v>22</v>
      </c>
      <c r="O3" s="5" t="s">
        <v>23</v>
      </c>
      <c r="P3" s="5" t="s">
        <v>36</v>
      </c>
      <c r="Q3" s="5" t="s">
        <v>37</v>
      </c>
      <c r="R3" s="5" t="s">
        <v>38</v>
      </c>
      <c r="S3" s="5" t="s">
        <v>27</v>
      </c>
    </row>
    <row r="4" spans="1:20" s="5" customFormat="1" x14ac:dyDescent="0.25">
      <c r="A4" s="4">
        <v>46076</v>
      </c>
      <c r="B4" s="4">
        <v>46076.427083333336</v>
      </c>
      <c r="C4" s="4">
        <v>46076</v>
      </c>
      <c r="D4" s="4"/>
      <c r="E4" s="4"/>
      <c r="F4" s="4">
        <v>46076</v>
      </c>
      <c r="G4" s="5" t="s">
        <v>20</v>
      </c>
      <c r="H4" s="5">
        <v>0</v>
      </c>
      <c r="I4"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K4" s="6">
        <f>Table13456789101112131415161718192022212324252628293032333435363839414344345[[#This Row],[Completed]]-Table13456789101112131415161718192022212324252628293032333435363839414344345[[#This Row],[Non Workable Days]]</f>
        <v>0</v>
      </c>
      <c r="L4"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4" s="5" t="s">
        <v>21</v>
      </c>
      <c r="N4" s="5" t="s">
        <v>22</v>
      </c>
      <c r="O4" s="5" t="s">
        <v>23</v>
      </c>
      <c r="P4" s="5" t="s">
        <v>24</v>
      </c>
      <c r="Q4" s="5" t="s">
        <v>25</v>
      </c>
      <c r="R4" s="5" t="s">
        <v>26</v>
      </c>
      <c r="S4" s="5" t="s">
        <v>27</v>
      </c>
    </row>
    <row r="5" spans="1:20" s="5" customFormat="1" x14ac:dyDescent="0.25">
      <c r="A5" s="4">
        <v>46077</v>
      </c>
      <c r="B5" s="4">
        <v>46065.62777777778</v>
      </c>
      <c r="C5" s="4">
        <v>46077</v>
      </c>
      <c r="D5" s="4"/>
      <c r="E5" s="4"/>
      <c r="F5" s="4">
        <v>46072</v>
      </c>
      <c r="G5" s="5" t="s">
        <v>28</v>
      </c>
      <c r="H5" s="5">
        <v>4</v>
      </c>
      <c r="I5"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K5" s="6">
        <f>Table13456789101112131415161718192022212324252628293032333435363839414344345[[#This Row],[Completed]]-Table13456789101112131415161718192022212324252628293032333435363839414344345[[#This Row],[Non Workable Days]]</f>
        <v>0</v>
      </c>
      <c r="L5"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5" s="5" t="s">
        <v>29</v>
      </c>
      <c r="N5" s="5" t="s">
        <v>22</v>
      </c>
      <c r="O5" s="5" t="s">
        <v>23</v>
      </c>
      <c r="P5" s="5" t="s">
        <v>30</v>
      </c>
      <c r="Q5" s="5" t="s">
        <v>31</v>
      </c>
      <c r="R5" s="5" t="s">
        <v>32</v>
      </c>
      <c r="S5" s="5" t="s">
        <v>27</v>
      </c>
    </row>
    <row r="6" spans="1:20" s="5" customFormat="1" x14ac:dyDescent="0.25">
      <c r="A6" s="4">
        <v>46077</v>
      </c>
      <c r="B6" s="4">
        <v>46065.616666666669</v>
      </c>
      <c r="C6" s="4">
        <v>46072</v>
      </c>
      <c r="D6" s="4"/>
      <c r="E6" s="4"/>
      <c r="F6" s="4">
        <v>46065</v>
      </c>
      <c r="H6" s="5">
        <v>24</v>
      </c>
      <c r="I6"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40</v>
      </c>
      <c r="J6" s="5">
        <v>16</v>
      </c>
      <c r="K6" s="6">
        <f>Table13456789101112131415161718192022212324252628293032333435363839414344345[[#This Row],[Completed]]-Table13456789101112131415161718192022212324252628293032333435363839414344345[[#This Row],[Non Workable Days]]</f>
        <v>24</v>
      </c>
      <c r="L6"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6" s="5" t="s">
        <v>22</v>
      </c>
      <c r="N6" s="5" t="s">
        <v>22</v>
      </c>
      <c r="O6" s="5" t="s">
        <v>23</v>
      </c>
      <c r="P6" s="5" t="s">
        <v>33</v>
      </c>
      <c r="Q6" s="5" t="s">
        <v>34</v>
      </c>
      <c r="R6" s="5" t="s">
        <v>35</v>
      </c>
      <c r="S6" s="5" t="s">
        <v>27</v>
      </c>
    </row>
    <row r="7" spans="1:20" s="14" customFormat="1" x14ac:dyDescent="0.25">
      <c r="A7" s="13"/>
      <c r="B7" s="13">
        <v>46075.629166666666</v>
      </c>
      <c r="C7" s="13">
        <v>46077</v>
      </c>
      <c r="D7" s="13">
        <v>46080</v>
      </c>
      <c r="F7" s="13">
        <v>46077</v>
      </c>
      <c r="H7" s="14">
        <v>20</v>
      </c>
      <c r="I7" s="15">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K7" s="15">
        <f>Table13456789101112131415161718192022212324252628293032333435363839414344345[[#This Row],[Completed]]-Table13456789101112131415161718192022212324252628293032333435363839414344345[[#This Row],[Non Workable Days]]</f>
        <v>0</v>
      </c>
      <c r="L7" s="16">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7" s="14" t="s">
        <v>22</v>
      </c>
      <c r="N7" s="14" t="s">
        <v>22</v>
      </c>
      <c r="O7" s="14" t="s">
        <v>23</v>
      </c>
      <c r="P7" s="14" t="s">
        <v>42</v>
      </c>
      <c r="Q7" s="14" t="s">
        <v>43</v>
      </c>
      <c r="S7" s="14" t="s">
        <v>44</v>
      </c>
    </row>
    <row r="8" spans="1:20" s="5" customFormat="1" x14ac:dyDescent="0.25">
      <c r="A8" s="4">
        <v>46079</v>
      </c>
      <c r="B8" s="4">
        <v>46065.642361111109</v>
      </c>
      <c r="C8" s="4">
        <v>46076</v>
      </c>
      <c r="D8" s="4">
        <v>46078</v>
      </c>
      <c r="E8" s="4">
        <v>46079</v>
      </c>
      <c r="F8" s="4">
        <v>46072</v>
      </c>
      <c r="G8" s="5" t="s">
        <v>28</v>
      </c>
      <c r="H8" s="5">
        <v>24</v>
      </c>
      <c r="I8"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16</v>
      </c>
      <c r="K8" s="6">
        <f>Table13456789101112131415161718192022212324252628293032333435363839414344345[[#This Row],[Completed]]-Table13456789101112131415161718192022212324252628293032333435363839414344345[[#This Row],[Non Workable Days]]</f>
        <v>16</v>
      </c>
      <c r="L8"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8</v>
      </c>
      <c r="M8" s="5" t="s">
        <v>29</v>
      </c>
      <c r="N8" s="5" t="s">
        <v>29</v>
      </c>
      <c r="O8" s="5" t="s">
        <v>23</v>
      </c>
      <c r="P8" s="5" t="s">
        <v>45</v>
      </c>
      <c r="Q8" s="5" t="s">
        <v>46</v>
      </c>
      <c r="R8" s="5" t="s">
        <v>47</v>
      </c>
      <c r="S8" s="5" t="s">
        <v>27</v>
      </c>
    </row>
    <row r="9" spans="1:20" s="18" customFormat="1" x14ac:dyDescent="0.25">
      <c r="A9" s="17"/>
      <c r="B9" s="17">
        <v>46078.4375</v>
      </c>
      <c r="C9" s="17">
        <v>46078</v>
      </c>
      <c r="D9" s="17"/>
      <c r="E9" s="17"/>
      <c r="F9" s="17">
        <v>46078</v>
      </c>
      <c r="G9" s="18" t="s">
        <v>28</v>
      </c>
      <c r="H9" s="19">
        <v>16</v>
      </c>
      <c r="I9" s="19">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9" s="19"/>
      <c r="K9" s="19">
        <f>Table13456789101112131415161718192022212324252628293032333435363839414344345[[#This Row],[Completed]]-Table13456789101112131415161718192022212324252628293032333435363839414344345[[#This Row],[Non Workable Days]]</f>
        <v>0</v>
      </c>
      <c r="L9" s="20">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9" s="17" t="s">
        <v>29</v>
      </c>
      <c r="N9" s="18" t="s">
        <v>29</v>
      </c>
      <c r="O9" s="18" t="s">
        <v>23</v>
      </c>
      <c r="P9" s="18" t="s">
        <v>48</v>
      </c>
      <c r="Q9" s="18" t="s">
        <v>49</v>
      </c>
      <c r="S9" s="18" t="s">
        <v>50</v>
      </c>
    </row>
    <row r="10" spans="1:20" s="14" customFormat="1" x14ac:dyDescent="0.25">
      <c r="A10" s="13"/>
      <c r="B10" s="13">
        <v>46072.370138888888</v>
      </c>
      <c r="C10" s="13">
        <v>46072</v>
      </c>
      <c r="D10" s="13">
        <v>46076</v>
      </c>
      <c r="E10" s="13"/>
      <c r="F10" s="13">
        <v>46072</v>
      </c>
      <c r="G10" s="14" t="s">
        <v>28</v>
      </c>
      <c r="H10" s="15">
        <v>12</v>
      </c>
      <c r="I10" s="15">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10" s="15"/>
      <c r="K10" s="15">
        <f>Table13456789101112131415161718192022212324252628293032333435363839414344345[[#This Row],[Completed]]-Table13456789101112131415161718192022212324252628293032333435363839414344345[[#This Row],[Non Workable Days]]</f>
        <v>0</v>
      </c>
      <c r="L10" s="16">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10" s="13" t="s">
        <v>29</v>
      </c>
      <c r="N10" s="14" t="s">
        <v>29</v>
      </c>
      <c r="O10" s="14" t="s">
        <v>23</v>
      </c>
      <c r="P10" s="14" t="s">
        <v>51</v>
      </c>
      <c r="Q10" s="14" t="s">
        <v>52</v>
      </c>
      <c r="S10" s="14" t="s">
        <v>44</v>
      </c>
    </row>
    <row r="11" spans="1:20" s="5" customFormat="1" x14ac:dyDescent="0.25">
      <c r="A11" s="4">
        <v>46073</v>
      </c>
      <c r="B11" s="4">
        <v>46069.7</v>
      </c>
      <c r="C11" s="4">
        <v>46071</v>
      </c>
      <c r="D11" s="4">
        <v>46072</v>
      </c>
      <c r="E11" s="4">
        <v>46073</v>
      </c>
      <c r="F11" s="4">
        <v>46071</v>
      </c>
      <c r="G11" s="5" t="s">
        <v>28</v>
      </c>
      <c r="H11" s="5">
        <v>12</v>
      </c>
      <c r="I11"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8</v>
      </c>
      <c r="K11" s="6">
        <f>Table13456789101112131415161718192022212324252628293032333435363839414344345[[#This Row],[Completed]]-Table13456789101112131415161718192022212324252628293032333435363839414344345[[#This Row],[Non Workable Days]]</f>
        <v>8</v>
      </c>
      <c r="L11"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4</v>
      </c>
      <c r="M11" s="4" t="s">
        <v>53</v>
      </c>
      <c r="N11" s="5" t="s">
        <v>53</v>
      </c>
      <c r="O11" s="5" t="s">
        <v>23</v>
      </c>
      <c r="P11" s="5" t="s">
        <v>57</v>
      </c>
      <c r="Q11" s="5" t="s">
        <v>58</v>
      </c>
      <c r="R11" s="5" t="s">
        <v>59</v>
      </c>
      <c r="S11" s="5" t="s">
        <v>27</v>
      </c>
    </row>
    <row r="12" spans="1:20" s="5" customFormat="1" x14ac:dyDescent="0.25">
      <c r="A12" s="4">
        <v>46080</v>
      </c>
      <c r="B12" s="4">
        <v>46072.47152777778</v>
      </c>
      <c r="C12" s="4">
        <v>46072</v>
      </c>
      <c r="D12" s="4">
        <v>46078</v>
      </c>
      <c r="E12" s="4">
        <v>46080</v>
      </c>
      <c r="F12" s="4">
        <v>46072</v>
      </c>
      <c r="G12" s="5" t="s">
        <v>28</v>
      </c>
      <c r="H12" s="5">
        <v>20</v>
      </c>
      <c r="I12"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48</v>
      </c>
      <c r="J12" s="5">
        <v>16</v>
      </c>
      <c r="K12" s="6">
        <f>Table13456789101112131415161718192022212324252628293032333435363839414344345[[#This Row],[Completed]]-Table13456789101112131415161718192022212324252628293032333435363839414344345[[#This Row],[Non Workable Days]]</f>
        <v>32</v>
      </c>
      <c r="L12"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-12</v>
      </c>
      <c r="M12" s="5" t="s">
        <v>53</v>
      </c>
      <c r="N12" s="5" t="s">
        <v>53</v>
      </c>
      <c r="O12" s="5" t="s">
        <v>23</v>
      </c>
      <c r="P12" s="5" t="s">
        <v>54</v>
      </c>
      <c r="Q12" s="5" t="s">
        <v>55</v>
      </c>
      <c r="R12" s="5" t="s">
        <v>56</v>
      </c>
      <c r="S12" s="5" t="s">
        <v>27</v>
      </c>
    </row>
    <row r="13" spans="1:20" s="5" customFormat="1" x14ac:dyDescent="0.25">
      <c r="A13" s="4">
        <v>46083</v>
      </c>
      <c r="B13" s="4">
        <v>46078</v>
      </c>
      <c r="C13" s="4">
        <v>46079</v>
      </c>
      <c r="F13" s="4">
        <v>46078</v>
      </c>
      <c r="G13" s="5" t="s">
        <v>28</v>
      </c>
      <c r="H13" s="5">
        <v>12</v>
      </c>
      <c r="I13"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32</v>
      </c>
      <c r="J13" s="5">
        <v>16</v>
      </c>
      <c r="K13" s="6">
        <f>Table13456789101112131415161718192022212324252628293032333435363839414344345[[#This Row],[Completed]]-Table13456789101112131415161718192022212324252628293032333435363839414344345[[#This Row],[Non Workable Days]]</f>
        <v>16</v>
      </c>
      <c r="L13"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-4</v>
      </c>
      <c r="M13" s="5" t="s">
        <v>53</v>
      </c>
      <c r="N13" s="5" t="s">
        <v>53</v>
      </c>
      <c r="O13" s="5" t="s">
        <v>23</v>
      </c>
      <c r="P13" s="5" t="s">
        <v>60</v>
      </c>
      <c r="Q13" s="5" t="s">
        <v>61</v>
      </c>
      <c r="R13" s="5" t="s">
        <v>62</v>
      </c>
      <c r="S13" s="5" t="s">
        <v>27</v>
      </c>
    </row>
    <row r="14" spans="1:20" s="14" customFormat="1" x14ac:dyDescent="0.25">
      <c r="A14" s="13"/>
      <c r="B14" s="13">
        <v>45838.595833333333</v>
      </c>
      <c r="C14" s="13">
        <v>46078</v>
      </c>
      <c r="D14" s="13">
        <v>46079</v>
      </c>
      <c r="E14" s="13"/>
      <c r="F14" s="13">
        <v>46078</v>
      </c>
      <c r="G14" s="14" t="s">
        <v>28</v>
      </c>
      <c r="H14" s="15">
        <v>12</v>
      </c>
      <c r="I14" s="15">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14" s="15"/>
      <c r="K14" s="15">
        <f>Table13456789101112131415161718192022212324252628293032333435363839414344345[[#This Row],[Completed]]-Table13456789101112131415161718192022212324252628293032333435363839414344345[[#This Row],[Non Workable Days]]</f>
        <v>0</v>
      </c>
      <c r="L14" s="16">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14" s="13" t="s">
        <v>53</v>
      </c>
      <c r="N14" s="14" t="s">
        <v>53</v>
      </c>
      <c r="O14" s="14" t="s">
        <v>23</v>
      </c>
      <c r="P14" s="14" t="s">
        <v>63</v>
      </c>
      <c r="Q14" s="14" t="s">
        <v>64</v>
      </c>
      <c r="S14" s="14" t="s">
        <v>44</v>
      </c>
    </row>
    <row r="15" spans="1:20" s="5" customFormat="1" x14ac:dyDescent="0.25">
      <c r="A15" s="4">
        <v>46077</v>
      </c>
      <c r="B15" s="4">
        <v>46076.467361111114</v>
      </c>
      <c r="C15" s="4">
        <v>46076</v>
      </c>
      <c r="F15" s="4">
        <v>46076</v>
      </c>
      <c r="G15" s="5" t="s">
        <v>20</v>
      </c>
      <c r="H15" s="5">
        <v>8</v>
      </c>
      <c r="I15"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8</v>
      </c>
      <c r="K15" s="6">
        <f>Table13456789101112131415161718192022212324252628293032333435363839414344345[[#This Row],[Completed]]-Table13456789101112131415161718192022212324252628293032333435363839414344345[[#This Row],[Non Workable Days]]</f>
        <v>8</v>
      </c>
      <c r="L15"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15" s="5" t="s">
        <v>65</v>
      </c>
      <c r="N15" s="5" t="s">
        <v>65</v>
      </c>
      <c r="O15" s="5" t="s">
        <v>23</v>
      </c>
      <c r="P15" s="5" t="s">
        <v>66</v>
      </c>
      <c r="Q15" s="5" t="s">
        <v>67</v>
      </c>
      <c r="R15" s="5" t="s">
        <v>68</v>
      </c>
      <c r="S15" s="5" t="s">
        <v>27</v>
      </c>
    </row>
    <row r="16" spans="1:20" x14ac:dyDescent="0.25">
      <c r="A16" s="4">
        <v>46078</v>
      </c>
      <c r="B16" s="4">
        <v>46076.361805555556</v>
      </c>
      <c r="C16" s="4">
        <v>46076</v>
      </c>
      <c r="D16" s="4"/>
      <c r="E16" s="4"/>
      <c r="F16" s="4">
        <v>46076</v>
      </c>
      <c r="G16" s="5" t="s">
        <v>28</v>
      </c>
      <c r="H16" s="5">
        <v>12</v>
      </c>
      <c r="I16"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16</v>
      </c>
      <c r="J16" s="5"/>
      <c r="K16" s="6">
        <f>Table13456789101112131415161718192022212324252628293032333435363839414344345[[#This Row],[Completed]]-Table13456789101112131415161718192022212324252628293032333435363839414344345[[#This Row],[Non Workable Days]]</f>
        <v>16</v>
      </c>
      <c r="L16"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-4</v>
      </c>
      <c r="M16" s="4" t="s">
        <v>65</v>
      </c>
      <c r="N16" s="5" t="s">
        <v>65</v>
      </c>
      <c r="O16" s="5" t="s">
        <v>23</v>
      </c>
      <c r="P16" s="5" t="s">
        <v>69</v>
      </c>
      <c r="Q16" s="5" t="s">
        <v>70</v>
      </c>
      <c r="R16" s="5" t="s">
        <v>71</v>
      </c>
      <c r="S16" s="5" t="s">
        <v>27</v>
      </c>
      <c r="T16" s="5"/>
    </row>
    <row r="17" spans="1:20" s="18" customFormat="1" x14ac:dyDescent="0.25">
      <c r="A17" s="17"/>
      <c r="B17" s="17">
        <v>46076.659722222219</v>
      </c>
      <c r="C17" s="17">
        <v>46078</v>
      </c>
      <c r="D17" s="17"/>
      <c r="E17" s="17"/>
      <c r="F17" s="17">
        <v>46078</v>
      </c>
      <c r="G17" s="18" t="s">
        <v>28</v>
      </c>
      <c r="H17" s="19">
        <v>20</v>
      </c>
      <c r="I17" s="19">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17" s="19"/>
      <c r="K17" s="19">
        <f>Table13456789101112131415161718192022212324252628293032333435363839414344345[[#This Row],[Completed]]-Table13456789101112131415161718192022212324252628293032333435363839414344345[[#This Row],[Non Workable Days]]</f>
        <v>0</v>
      </c>
      <c r="L17" s="20">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17" s="17" t="s">
        <v>65</v>
      </c>
      <c r="N17" s="18" t="s">
        <v>65</v>
      </c>
      <c r="O17" s="18" t="s">
        <v>23</v>
      </c>
      <c r="P17" s="18" t="s">
        <v>72</v>
      </c>
      <c r="Q17" s="18" t="s">
        <v>73</v>
      </c>
      <c r="S17" s="18" t="s">
        <v>50</v>
      </c>
    </row>
    <row r="18" spans="1:20" x14ac:dyDescent="0.25">
      <c r="A18" s="4">
        <v>46066</v>
      </c>
      <c r="B18" s="4">
        <v>46065.636111111111</v>
      </c>
      <c r="C18" s="4">
        <v>46066</v>
      </c>
      <c r="D18" s="5"/>
      <c r="E18" s="5"/>
      <c r="F18" s="4">
        <v>46066</v>
      </c>
      <c r="G18" s="5"/>
      <c r="H18" s="5">
        <v>0</v>
      </c>
      <c r="I18"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18" s="5"/>
      <c r="K18" s="6">
        <f>Table13456789101112131415161718192022212324252628293032333435363839414344345[[#This Row],[Completed]]-Table13456789101112131415161718192022212324252628293032333435363839414344345[[#This Row],[Non Workable Days]]</f>
        <v>0</v>
      </c>
      <c r="L18"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18" s="5" t="s">
        <v>21</v>
      </c>
      <c r="N18" s="5" t="s">
        <v>75</v>
      </c>
      <c r="O18" s="5" t="s">
        <v>23</v>
      </c>
      <c r="P18" s="5" t="s">
        <v>79</v>
      </c>
      <c r="Q18" s="5" t="s">
        <v>80</v>
      </c>
      <c r="R18" s="5" t="s">
        <v>81</v>
      </c>
      <c r="S18" s="5" t="s">
        <v>27</v>
      </c>
      <c r="T18" s="5"/>
    </row>
    <row r="19" spans="1:20" x14ac:dyDescent="0.25">
      <c r="A19" s="4">
        <v>46066</v>
      </c>
      <c r="B19" s="4">
        <v>46058.427777777775</v>
      </c>
      <c r="C19" s="4">
        <v>46065</v>
      </c>
      <c r="D19" s="5"/>
      <c r="E19" s="5"/>
      <c r="F19" s="4">
        <v>46058</v>
      </c>
      <c r="G19" s="5" t="s">
        <v>28</v>
      </c>
      <c r="H19" s="5">
        <v>16</v>
      </c>
      <c r="I19"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8</v>
      </c>
      <c r="J19" s="5"/>
      <c r="K19" s="6">
        <f>Table13456789101112131415161718192022212324252628293032333435363839414344345[[#This Row],[Completed]]-Table13456789101112131415161718192022212324252628293032333435363839414344345[[#This Row],[Non Workable Days]]</f>
        <v>8</v>
      </c>
      <c r="L19"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8</v>
      </c>
      <c r="M19" s="5" t="s">
        <v>74</v>
      </c>
      <c r="N19" s="5" t="s">
        <v>75</v>
      </c>
      <c r="O19" s="5" t="s">
        <v>23</v>
      </c>
      <c r="P19" s="5" t="s">
        <v>82</v>
      </c>
      <c r="Q19" s="5" t="s">
        <v>83</v>
      </c>
      <c r="R19" s="5" t="s">
        <v>84</v>
      </c>
      <c r="S19" s="5" t="s">
        <v>27</v>
      </c>
      <c r="T19" s="5"/>
    </row>
    <row r="20" spans="1:20" x14ac:dyDescent="0.25">
      <c r="A20" s="4">
        <v>46080</v>
      </c>
      <c r="B20" s="4">
        <v>46073.454861111109</v>
      </c>
      <c r="C20" s="4">
        <v>46076</v>
      </c>
      <c r="D20" s="4">
        <v>46079</v>
      </c>
      <c r="E20" s="4">
        <v>46080</v>
      </c>
      <c r="F20" s="4">
        <v>46076</v>
      </c>
      <c r="G20" s="5" t="s">
        <v>28</v>
      </c>
      <c r="H20" s="5">
        <v>20</v>
      </c>
      <c r="I20" s="6">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24</v>
      </c>
      <c r="J20" s="5"/>
      <c r="K20" s="6">
        <f>Table13456789101112131415161718192022212324252628293032333435363839414344345[[#This Row],[Completed]]-Table13456789101112131415161718192022212324252628293032333435363839414344345[[#This Row],[Non Workable Days]]</f>
        <v>24</v>
      </c>
      <c r="L20"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-4</v>
      </c>
      <c r="M20" s="5" t="s">
        <v>74</v>
      </c>
      <c r="N20" s="5" t="s">
        <v>75</v>
      </c>
      <c r="O20" s="5" t="s">
        <v>23</v>
      </c>
      <c r="P20" s="5" t="s">
        <v>76</v>
      </c>
      <c r="Q20" s="5" t="s">
        <v>77</v>
      </c>
      <c r="R20" s="5" t="s">
        <v>78</v>
      </c>
      <c r="S20" s="5" t="s">
        <v>27</v>
      </c>
      <c r="T20" s="5"/>
    </row>
    <row r="21" spans="1:20" x14ac:dyDescent="0.25">
      <c r="A21" s="8"/>
      <c r="B21" s="8"/>
      <c r="C21" s="8"/>
      <c r="D21" s="8"/>
      <c r="E21" s="8"/>
      <c r="F21" s="8"/>
      <c r="H21" s="1"/>
      <c r="I21"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21" s="1"/>
      <c r="K21" s="1">
        <f>Table13456789101112131415161718192022212324252628293032333435363839414344345[[#This Row],[Completed]]-Table13456789101112131415161718192022212324252628293032333435363839414344345[[#This Row],[Non Workable Days]]</f>
        <v>0</v>
      </c>
      <c r="L21"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21" s="8"/>
      <c r="O21" s="8"/>
      <c r="T21" s="3"/>
    </row>
    <row r="22" spans="1:20" x14ac:dyDescent="0.25">
      <c r="A22" s="8"/>
      <c r="B22" s="8"/>
      <c r="C22" s="8"/>
      <c r="D22" s="8"/>
      <c r="E22" s="8"/>
      <c r="F22" s="8"/>
      <c r="H22" s="1"/>
      <c r="I22"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22" s="1"/>
      <c r="K22" s="1">
        <f>Table13456789101112131415161718192022212324252628293032333435363839414344345[[#This Row],[Completed]]-Table13456789101112131415161718192022212324252628293032333435363839414344345[[#This Row],[Non Workable Days]]</f>
        <v>0</v>
      </c>
      <c r="L22"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22" s="8"/>
    </row>
    <row r="23" spans="1:20" x14ac:dyDescent="0.25">
      <c r="A23" s="9"/>
      <c r="B23" s="10" t="s">
        <v>8</v>
      </c>
      <c r="C23" s="8"/>
      <c r="D23" s="8"/>
      <c r="E23" s="8"/>
      <c r="F23" s="8"/>
      <c r="H23" s="1"/>
      <c r="I23"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23" s="1"/>
      <c r="K23" s="1">
        <f>Table13456789101112131415161718192022212324252628293032333435363839414344345[[#This Row],[Completed]]-Table13456789101112131415161718192022212324252628293032333435363839414344345[[#This Row],[Non Workable Days]]</f>
        <v>0</v>
      </c>
      <c r="L23"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23" s="8"/>
    </row>
    <row r="24" spans="1:20" x14ac:dyDescent="0.25">
      <c r="A24" s="11"/>
      <c r="B24" s="10" t="s">
        <v>85</v>
      </c>
      <c r="C24" s="8"/>
      <c r="D24" s="8"/>
      <c r="E24" s="8"/>
      <c r="F24" s="8"/>
      <c r="H24" s="1"/>
      <c r="I24"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24" s="1"/>
      <c r="K24" s="1">
        <f>Table13456789101112131415161718192022212324252628293032333435363839414344345[[#This Row],[Completed]]-Table13456789101112131415161718192022212324252628293032333435363839414344345[[#This Row],[Non Workable Days]]</f>
        <v>0</v>
      </c>
      <c r="L24"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24" s="8"/>
    </row>
    <row r="25" spans="1:20" x14ac:dyDescent="0.25">
      <c r="A25" s="12"/>
      <c r="B25" s="10" t="s">
        <v>86</v>
      </c>
      <c r="C25" s="8"/>
      <c r="D25" s="8"/>
      <c r="E25" s="8"/>
      <c r="F25" s="8"/>
      <c r="H25" s="1"/>
      <c r="I25"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25" s="1"/>
      <c r="K25" s="1">
        <f>Table13456789101112131415161718192022212324252628293032333435363839414344345[[#This Row],[Completed]]-Table13456789101112131415161718192022212324252628293032333435363839414344345[[#This Row],[Non Workable Days]]</f>
        <v>0</v>
      </c>
      <c r="L25"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25" s="8"/>
    </row>
    <row r="26" spans="1:20" x14ac:dyDescent="0.25">
      <c r="A26" s="8"/>
      <c r="B26" s="8"/>
      <c r="C26" s="8"/>
      <c r="D26" s="8"/>
      <c r="E26" s="8"/>
      <c r="F26" s="8"/>
      <c r="H26" s="1"/>
      <c r="I26"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26" s="1"/>
      <c r="K26" s="1">
        <f>Table13456789101112131415161718192022212324252628293032333435363839414344345[[#This Row],[Completed]]-Table13456789101112131415161718192022212324252628293032333435363839414344345[[#This Row],[Non Workable Days]]</f>
        <v>0</v>
      </c>
      <c r="L26"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26" s="8"/>
    </row>
    <row r="27" spans="1:20" x14ac:dyDescent="0.25">
      <c r="A27" s="8"/>
      <c r="B27" s="8"/>
      <c r="C27" s="8"/>
      <c r="D27" s="8"/>
      <c r="E27" s="8"/>
      <c r="F27" s="8"/>
      <c r="G27" s="8"/>
      <c r="H27" s="1"/>
      <c r="I27"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27" s="1"/>
      <c r="K27" s="1">
        <f>Table13456789101112131415161718192022212324252628293032333435363839414344345[[#This Row],[Completed]]-Table13456789101112131415161718192022212324252628293032333435363839414344345[[#This Row],[Non Workable Days]]</f>
        <v>0</v>
      </c>
      <c r="L27"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27" s="8"/>
      <c r="N27" s="8"/>
    </row>
    <row r="28" spans="1:20" x14ac:dyDescent="0.25">
      <c r="A28" s="8"/>
      <c r="B28" s="8"/>
      <c r="C28" s="8"/>
      <c r="D28" s="8"/>
      <c r="E28" s="8"/>
      <c r="F28" s="8"/>
      <c r="G28" s="8"/>
      <c r="H28" s="1"/>
      <c r="I28"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28" s="1"/>
      <c r="K28" s="1">
        <f>Table13456789101112131415161718192022212324252628293032333435363839414344345[[#This Row],[Completed]]-Table13456789101112131415161718192022212324252628293032333435363839414344345[[#This Row],[Non Workable Days]]</f>
        <v>0</v>
      </c>
      <c r="L28"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28" s="8"/>
      <c r="N28" s="8"/>
    </row>
    <row r="29" spans="1:20" x14ac:dyDescent="0.25">
      <c r="A29" s="8"/>
      <c r="B29" s="8"/>
      <c r="C29" s="8"/>
      <c r="D29" s="8"/>
      <c r="E29" s="8"/>
      <c r="F29" s="8"/>
      <c r="G29" s="8"/>
      <c r="H29" s="1"/>
      <c r="I29"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29" s="1"/>
      <c r="K29" s="1">
        <f>Table13456789101112131415161718192022212324252628293032333435363839414344345[[#This Row],[Completed]]-Table13456789101112131415161718192022212324252628293032333435363839414344345[[#This Row],[Non Workable Days]]</f>
        <v>0</v>
      </c>
      <c r="L29"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29" s="8"/>
      <c r="N29" s="8"/>
    </row>
    <row r="30" spans="1:20" x14ac:dyDescent="0.25">
      <c r="A30" s="8"/>
      <c r="B30" s="8"/>
      <c r="C30" s="8"/>
      <c r="D30" s="8"/>
      <c r="E30" s="8"/>
      <c r="F30" s="8"/>
      <c r="G30" s="8"/>
      <c r="H30" s="1"/>
      <c r="I30"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30" s="1"/>
      <c r="K30" s="1">
        <f>Table13456789101112131415161718192022212324252628293032333435363839414344345[[#This Row],[Completed]]-Table13456789101112131415161718192022212324252628293032333435363839414344345[[#This Row],[Non Workable Days]]</f>
        <v>0</v>
      </c>
      <c r="L30"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30" s="8"/>
      <c r="N30" s="8"/>
    </row>
    <row r="31" spans="1:20" x14ac:dyDescent="0.25">
      <c r="A31" s="8"/>
      <c r="B31" s="8"/>
      <c r="C31" s="8"/>
      <c r="D31" s="8"/>
      <c r="E31" s="8"/>
      <c r="F31" s="8"/>
      <c r="G31" s="8"/>
      <c r="H31" s="1"/>
      <c r="I31"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31" s="1"/>
      <c r="K31" s="1">
        <f>Table13456789101112131415161718192022212324252628293032333435363839414344345[[#This Row],[Completed]]-Table13456789101112131415161718192022212324252628293032333435363839414344345[[#This Row],[Non Workable Days]]</f>
        <v>0</v>
      </c>
      <c r="L31"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31" s="8"/>
      <c r="N31" s="8"/>
    </row>
    <row r="32" spans="1:20" x14ac:dyDescent="0.25">
      <c r="A32" s="8"/>
      <c r="B32" s="8"/>
      <c r="C32" s="8"/>
      <c r="D32" s="8"/>
      <c r="E32" s="8"/>
      <c r="F32" s="8"/>
      <c r="G32" s="8"/>
      <c r="H32" s="1"/>
      <c r="I32"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32" s="1"/>
      <c r="K32" s="1">
        <f>Table13456789101112131415161718192022212324252628293032333435363839414344345[[#This Row],[Completed]]-Table13456789101112131415161718192022212324252628293032333435363839414344345[[#This Row],[Non Workable Days]]</f>
        <v>0</v>
      </c>
      <c r="L32"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32" s="8"/>
      <c r="N32" s="8"/>
    </row>
    <row r="33" spans="1:14" x14ac:dyDescent="0.25">
      <c r="A33" s="8"/>
      <c r="B33" s="8"/>
      <c r="C33" s="8"/>
      <c r="D33" s="8"/>
      <c r="E33" s="8"/>
      <c r="F33" s="8"/>
      <c r="G33" s="8"/>
      <c r="H33" s="1"/>
      <c r="I33"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33" s="1"/>
      <c r="K33" s="1">
        <f>Table13456789101112131415161718192022212324252628293032333435363839414344345[[#This Row],[Completed]]-Table13456789101112131415161718192022212324252628293032333435363839414344345[[#This Row],[Non Workable Days]]</f>
        <v>0</v>
      </c>
      <c r="L33"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33" s="8"/>
      <c r="N33" s="8"/>
    </row>
    <row r="34" spans="1:14" x14ac:dyDescent="0.25">
      <c r="A34" s="8"/>
      <c r="B34" s="8"/>
      <c r="C34" s="8"/>
      <c r="D34" s="8"/>
      <c r="E34" s="8"/>
      <c r="F34" s="8"/>
      <c r="G34" s="8"/>
      <c r="H34" s="1"/>
      <c r="I34"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34" s="1"/>
      <c r="K34" s="1">
        <f>Table13456789101112131415161718192022212324252628293032333435363839414344345[[#This Row],[Completed]]-Table13456789101112131415161718192022212324252628293032333435363839414344345[[#This Row],[Non Workable Days]]</f>
        <v>0</v>
      </c>
      <c r="L34"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34" s="8"/>
      <c r="N34" s="8"/>
    </row>
    <row r="35" spans="1:14" x14ac:dyDescent="0.25">
      <c r="A35" s="8"/>
      <c r="B35" s="8"/>
      <c r="C35" s="8"/>
      <c r="D35" s="8"/>
      <c r="E35" s="8"/>
      <c r="F35" s="8"/>
      <c r="G35" s="8"/>
      <c r="H35" s="1"/>
      <c r="I35"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35" s="1"/>
      <c r="K35" s="1">
        <f>Table13456789101112131415161718192022212324252628293032333435363839414344345[[#This Row],[Completed]]-Table13456789101112131415161718192022212324252628293032333435363839414344345[[#This Row],[Non Workable Days]]</f>
        <v>0</v>
      </c>
      <c r="L35"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35" s="8"/>
      <c r="N35" s="8"/>
    </row>
    <row r="36" spans="1:14" x14ac:dyDescent="0.25">
      <c r="A36" s="8"/>
      <c r="B36" s="8"/>
      <c r="C36" s="8"/>
      <c r="D36" s="8"/>
      <c r="E36" s="8"/>
      <c r="F36" s="8"/>
      <c r="G36" s="8"/>
      <c r="H36" s="1"/>
      <c r="I36"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36" s="1"/>
      <c r="K36" s="1">
        <f>Table13456789101112131415161718192022212324252628293032333435363839414344345[[#This Row],[Completed]]-Table13456789101112131415161718192022212324252628293032333435363839414344345[[#This Row],[Non Workable Days]]</f>
        <v>0</v>
      </c>
      <c r="L36"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36" s="8"/>
      <c r="N36" s="8"/>
    </row>
    <row r="37" spans="1:14" x14ac:dyDescent="0.25">
      <c r="A37" s="8"/>
      <c r="B37" s="8"/>
      <c r="C37" s="8"/>
      <c r="D37" s="8"/>
      <c r="E37" s="8"/>
      <c r="F37" s="8"/>
      <c r="G37" s="8"/>
      <c r="H37" s="1"/>
      <c r="I37"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37" s="1"/>
      <c r="K37" s="1">
        <f>Table13456789101112131415161718192022212324252628293032333435363839414344345[[#This Row],[Completed]]-Table13456789101112131415161718192022212324252628293032333435363839414344345[[#This Row],[Non Workable Days]]</f>
        <v>0</v>
      </c>
      <c r="L37"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37" s="8"/>
      <c r="N37" s="8"/>
    </row>
    <row r="38" spans="1:14" x14ac:dyDescent="0.25">
      <c r="A38" s="8"/>
      <c r="B38" s="8"/>
      <c r="C38" s="8"/>
      <c r="D38" s="8"/>
      <c r="E38" s="8"/>
      <c r="F38" s="8"/>
      <c r="G38" s="8"/>
      <c r="H38" s="1"/>
      <c r="I38"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38" s="1"/>
      <c r="K38" s="1">
        <f>Table13456789101112131415161718192022212324252628293032333435363839414344345[[#This Row],[Completed]]-Table13456789101112131415161718192022212324252628293032333435363839414344345[[#This Row],[Non Workable Days]]</f>
        <v>0</v>
      </c>
      <c r="L38"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38" s="8"/>
      <c r="N38" s="8"/>
    </row>
    <row r="39" spans="1:14" x14ac:dyDescent="0.25">
      <c r="A39" s="8"/>
      <c r="B39" s="8"/>
      <c r="C39" s="8"/>
      <c r="D39" s="8"/>
      <c r="E39" s="8"/>
      <c r="F39" s="8"/>
      <c r="G39" s="8"/>
      <c r="H39" s="1"/>
      <c r="I39"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39" s="1"/>
      <c r="K39" s="1">
        <f>Table13456789101112131415161718192022212324252628293032333435363839414344345[[#This Row],[Completed]]-Table13456789101112131415161718192022212324252628293032333435363839414344345[[#This Row],[Non Workable Days]]</f>
        <v>0</v>
      </c>
      <c r="L39"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39" s="8"/>
      <c r="N39" s="8"/>
    </row>
    <row r="40" spans="1:14" x14ac:dyDescent="0.25">
      <c r="A40" s="8"/>
      <c r="B40" s="8"/>
      <c r="C40" s="8"/>
      <c r="D40" s="8"/>
      <c r="E40" s="8"/>
      <c r="F40" s="8"/>
      <c r="G40" s="8"/>
      <c r="H40" s="1"/>
      <c r="I40"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40" s="1"/>
      <c r="K40" s="1">
        <f>Table13456789101112131415161718192022212324252628293032333435363839414344345[[#This Row],[Completed]]-Table13456789101112131415161718192022212324252628293032333435363839414344345[[#This Row],[Non Workable Days]]</f>
        <v>0</v>
      </c>
      <c r="L40"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40" s="8"/>
      <c r="N40" s="8"/>
    </row>
    <row r="41" spans="1:14" x14ac:dyDescent="0.25">
      <c r="A41" s="8"/>
      <c r="B41" s="8"/>
      <c r="C41" s="8"/>
      <c r="D41" s="8"/>
      <c r="E41" s="8"/>
      <c r="F41" s="8"/>
      <c r="G41" s="8"/>
      <c r="H41" s="1"/>
      <c r="I41"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41" s="1"/>
      <c r="K41" s="1">
        <f>Table13456789101112131415161718192022212324252628293032333435363839414344345[[#This Row],[Completed]]-Table13456789101112131415161718192022212324252628293032333435363839414344345[[#This Row],[Non Workable Days]]</f>
        <v>0</v>
      </c>
      <c r="L41"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41" s="8"/>
      <c r="N41" s="8"/>
    </row>
    <row r="42" spans="1:14" x14ac:dyDescent="0.25">
      <c r="A42" s="8"/>
      <c r="B42" s="8"/>
      <c r="C42" s="8"/>
      <c r="D42" s="8"/>
      <c r="E42" s="8"/>
      <c r="F42" s="8"/>
      <c r="G42" s="8"/>
      <c r="H42" s="1"/>
      <c r="I42"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42" s="1"/>
      <c r="K42" s="1">
        <f>Table13456789101112131415161718192022212324252628293032333435363839414344345[[#This Row],[Completed]]-Table13456789101112131415161718192022212324252628293032333435363839414344345[[#This Row],[Non Workable Days]]</f>
        <v>0</v>
      </c>
      <c r="L42"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42" s="8"/>
      <c r="N42" s="8"/>
    </row>
    <row r="43" spans="1:14" x14ac:dyDescent="0.25">
      <c r="A43" s="8"/>
      <c r="B43" s="8"/>
      <c r="C43" s="8"/>
      <c r="D43" s="8"/>
      <c r="E43" s="8"/>
      <c r="F43" s="8"/>
      <c r="G43" s="8"/>
      <c r="H43" s="1"/>
      <c r="I43"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43" s="1"/>
      <c r="K43" s="1">
        <f>Table13456789101112131415161718192022212324252628293032333435363839414344345[[#This Row],[Completed]]-Table13456789101112131415161718192022212324252628293032333435363839414344345[[#This Row],[Non Workable Days]]</f>
        <v>0</v>
      </c>
      <c r="L43"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43" s="8"/>
      <c r="N43" s="8"/>
    </row>
    <row r="44" spans="1:14" x14ac:dyDescent="0.25">
      <c r="A44" s="8"/>
      <c r="B44" s="8"/>
      <c r="C44" s="8"/>
      <c r="D44" s="8"/>
      <c r="E44" s="8"/>
      <c r="F44" s="8"/>
      <c r="G44" s="8"/>
      <c r="H44" s="1"/>
      <c r="I44"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44" s="1"/>
      <c r="K44" s="1">
        <f>Table13456789101112131415161718192022212324252628293032333435363839414344345[[#This Row],[Completed]]-Table13456789101112131415161718192022212324252628293032333435363839414344345[[#This Row],[Non Workable Days]]</f>
        <v>0</v>
      </c>
      <c r="L44"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44" s="8"/>
      <c r="N44" s="8"/>
    </row>
    <row r="45" spans="1:14" x14ac:dyDescent="0.25">
      <c r="A45" s="8"/>
      <c r="B45" s="8"/>
      <c r="C45" s="8"/>
      <c r="D45" s="8"/>
      <c r="E45" s="8"/>
      <c r="F45" s="8"/>
      <c r="G45" s="8"/>
      <c r="H45" s="1"/>
      <c r="I45"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45" s="1"/>
      <c r="K45" s="1">
        <f>Table13456789101112131415161718192022212324252628293032333435363839414344345[[#This Row],[Completed]]-Table13456789101112131415161718192022212324252628293032333435363839414344345[[#This Row],[Non Workable Days]]</f>
        <v>0</v>
      </c>
      <c r="L45"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45" s="8"/>
      <c r="N45" s="8"/>
    </row>
    <row r="46" spans="1:14" x14ac:dyDescent="0.25">
      <c r="A46" s="8"/>
      <c r="B46" s="8"/>
      <c r="C46" s="8"/>
      <c r="D46" s="8"/>
      <c r="E46" s="8"/>
      <c r="F46" s="8"/>
      <c r="G46" s="8"/>
      <c r="H46" s="1"/>
      <c r="I46"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46" s="1"/>
      <c r="K46" s="1">
        <f>Table13456789101112131415161718192022212324252628293032333435363839414344345[[#This Row],[Completed]]-Table13456789101112131415161718192022212324252628293032333435363839414344345[[#This Row],[Non Workable Days]]</f>
        <v>0</v>
      </c>
      <c r="L46"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46" s="8"/>
      <c r="N46" s="8"/>
    </row>
    <row r="47" spans="1:14" x14ac:dyDescent="0.25">
      <c r="A47" s="8"/>
      <c r="B47" s="8"/>
      <c r="C47" s="8"/>
      <c r="D47" s="8"/>
      <c r="E47" s="8"/>
      <c r="F47" s="8"/>
      <c r="G47" s="8"/>
      <c r="H47" s="1"/>
      <c r="I47"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47" s="1"/>
      <c r="K47" s="1">
        <f>Table13456789101112131415161718192022212324252628293032333435363839414344345[[#This Row],[Completed]]-Table13456789101112131415161718192022212324252628293032333435363839414344345[[#This Row],[Non Workable Days]]</f>
        <v>0</v>
      </c>
      <c r="L47"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47" s="8"/>
      <c r="N47" s="8"/>
    </row>
    <row r="48" spans="1:14" x14ac:dyDescent="0.25">
      <c r="A48" s="8"/>
      <c r="B48" s="8"/>
      <c r="C48" s="8"/>
      <c r="D48" s="8"/>
      <c r="E48" s="8"/>
      <c r="F48" s="8"/>
      <c r="G48" s="8"/>
      <c r="H48" s="1"/>
      <c r="I48"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48" s="1"/>
      <c r="K48" s="1">
        <f>Table13456789101112131415161718192022212324252628293032333435363839414344345[[#This Row],[Completed]]-Table13456789101112131415161718192022212324252628293032333435363839414344345[[#This Row],[Non Workable Days]]</f>
        <v>0</v>
      </c>
      <c r="L48"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48" s="8"/>
      <c r="N48" s="8"/>
    </row>
    <row r="49" spans="1:14" x14ac:dyDescent="0.25">
      <c r="A49" s="8"/>
      <c r="B49" s="8"/>
      <c r="C49" s="8"/>
      <c r="D49" s="8"/>
      <c r="E49" s="8"/>
      <c r="F49" s="8"/>
      <c r="G49" s="8"/>
      <c r="H49" s="1"/>
      <c r="I49"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49" s="1"/>
      <c r="K49" s="1">
        <f>Table13456789101112131415161718192022212324252628293032333435363839414344345[[#This Row],[Completed]]-Table13456789101112131415161718192022212324252628293032333435363839414344345[[#This Row],[Non Workable Days]]</f>
        <v>0</v>
      </c>
      <c r="L49"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49" s="8"/>
      <c r="N49" s="8"/>
    </row>
    <row r="50" spans="1:14" x14ac:dyDescent="0.25">
      <c r="A50" s="8"/>
      <c r="B50" s="8"/>
      <c r="C50" s="8"/>
      <c r="D50" s="8"/>
      <c r="E50" s="8"/>
      <c r="F50" s="8"/>
      <c r="G50" s="8"/>
      <c r="H50" s="1"/>
      <c r="I50"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50" s="1"/>
      <c r="K50" s="1">
        <f>Table13456789101112131415161718192022212324252628293032333435363839414344345[[#This Row],[Completed]]-Table13456789101112131415161718192022212324252628293032333435363839414344345[[#This Row],[Non Workable Days]]</f>
        <v>0</v>
      </c>
      <c r="L50"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50" s="8"/>
      <c r="N50" s="8"/>
    </row>
    <row r="51" spans="1:14" x14ac:dyDescent="0.25">
      <c r="A51" s="8"/>
      <c r="B51" s="8"/>
      <c r="C51" s="8"/>
      <c r="D51" s="8"/>
      <c r="E51" s="8"/>
      <c r="F51" s="8"/>
      <c r="G51" s="8"/>
      <c r="H51" s="1"/>
      <c r="I51"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51" s="1"/>
      <c r="K51" s="1">
        <f>Table13456789101112131415161718192022212324252628293032333435363839414344345[[#This Row],[Completed]]-Table13456789101112131415161718192022212324252628293032333435363839414344345[[#This Row],[Non Workable Days]]</f>
        <v>0</v>
      </c>
      <c r="L51"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51" s="8"/>
      <c r="N51" s="8"/>
    </row>
    <row r="52" spans="1:14" x14ac:dyDescent="0.25">
      <c r="A52" s="8"/>
      <c r="B52" s="8"/>
      <c r="C52" s="8"/>
      <c r="D52" s="8"/>
      <c r="E52" s="8"/>
      <c r="F52" s="8"/>
      <c r="G52" s="8"/>
      <c r="H52" s="1"/>
      <c r="I52"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52" s="1"/>
      <c r="K52" s="1">
        <f>Table13456789101112131415161718192022212324252628293032333435363839414344345[[#This Row],[Completed]]-Table13456789101112131415161718192022212324252628293032333435363839414344345[[#This Row],[Non Workable Days]]</f>
        <v>0</v>
      </c>
      <c r="L52"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52" s="8"/>
      <c r="N52" s="8"/>
    </row>
    <row r="53" spans="1:14" x14ac:dyDescent="0.25">
      <c r="A53" s="8"/>
      <c r="B53" s="8"/>
      <c r="C53" s="8"/>
      <c r="D53" s="8"/>
      <c r="E53" s="8"/>
      <c r="F53" s="8"/>
      <c r="G53" s="8"/>
      <c r="H53" s="1"/>
      <c r="I53"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53" s="1"/>
      <c r="K53" s="1">
        <f>Table13456789101112131415161718192022212324252628293032333435363839414344345[[#This Row],[Completed]]-Table13456789101112131415161718192022212324252628293032333435363839414344345[[#This Row],[Non Workable Days]]</f>
        <v>0</v>
      </c>
      <c r="L53"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53" s="8"/>
      <c r="N53" s="8"/>
    </row>
    <row r="54" spans="1:14" x14ac:dyDescent="0.25">
      <c r="A54" s="8"/>
      <c r="B54" s="8"/>
      <c r="C54" s="8"/>
      <c r="D54" s="8"/>
      <c r="E54" s="8"/>
      <c r="F54" s="8"/>
      <c r="G54" s="8"/>
      <c r="H54" s="1"/>
      <c r="I54"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54" s="1"/>
      <c r="K54" s="1">
        <f>Table13456789101112131415161718192022212324252628293032333435363839414344345[[#This Row],[Completed]]-Table13456789101112131415161718192022212324252628293032333435363839414344345[[#This Row],[Non Workable Days]]</f>
        <v>0</v>
      </c>
      <c r="L54"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54" s="8"/>
      <c r="N54" s="8"/>
    </row>
    <row r="55" spans="1:14" x14ac:dyDescent="0.25">
      <c r="A55" s="8"/>
      <c r="B55" s="8"/>
      <c r="C55" s="8"/>
      <c r="D55" s="8"/>
      <c r="E55" s="8"/>
      <c r="F55" s="8"/>
      <c r="G55" s="8"/>
      <c r="H55" s="1"/>
      <c r="I55"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55" s="1"/>
      <c r="K55" s="1">
        <f>Table13456789101112131415161718192022212324252628293032333435363839414344345[[#This Row],[Completed]]-Table13456789101112131415161718192022212324252628293032333435363839414344345[[#This Row],[Non Workable Days]]</f>
        <v>0</v>
      </c>
      <c r="L55"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55" s="8"/>
      <c r="N55" s="8"/>
    </row>
    <row r="56" spans="1:14" x14ac:dyDescent="0.25">
      <c r="A56" s="8"/>
      <c r="B56" s="8"/>
      <c r="C56" s="8"/>
      <c r="D56" s="8"/>
      <c r="E56" s="8"/>
      <c r="F56" s="8"/>
      <c r="G56" s="8"/>
      <c r="H56" s="1"/>
      <c r="I56"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56" s="1"/>
      <c r="K56" s="1">
        <f>Table13456789101112131415161718192022212324252628293032333435363839414344345[[#This Row],[Completed]]-Table13456789101112131415161718192022212324252628293032333435363839414344345[[#This Row],[Non Workable Days]]</f>
        <v>0</v>
      </c>
      <c r="L56"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56" s="8"/>
      <c r="N56" s="8"/>
    </row>
    <row r="57" spans="1:14" x14ac:dyDescent="0.25">
      <c r="A57" s="8"/>
      <c r="B57" s="8"/>
      <c r="C57" s="8"/>
      <c r="D57" s="8"/>
      <c r="E57" s="8"/>
      <c r="F57" s="8"/>
      <c r="G57" s="8"/>
      <c r="H57" s="1"/>
      <c r="I57"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57" s="1"/>
      <c r="K57" s="1">
        <f>Table13456789101112131415161718192022212324252628293032333435363839414344345[[#This Row],[Completed]]-Table13456789101112131415161718192022212324252628293032333435363839414344345[[#This Row],[Non Workable Days]]</f>
        <v>0</v>
      </c>
      <c r="L57"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57" s="8"/>
      <c r="N57" s="8"/>
    </row>
    <row r="58" spans="1:14" x14ac:dyDescent="0.25">
      <c r="A58" s="8"/>
      <c r="B58" s="8"/>
      <c r="C58" s="8"/>
      <c r="D58" s="8"/>
      <c r="E58" s="8"/>
      <c r="F58" s="8"/>
      <c r="G58" s="8"/>
      <c r="H58" s="1"/>
      <c r="I58"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58" s="1"/>
      <c r="K58" s="1">
        <f>Table13456789101112131415161718192022212324252628293032333435363839414344345[[#This Row],[Completed]]-Table13456789101112131415161718192022212324252628293032333435363839414344345[[#This Row],[Non Workable Days]]</f>
        <v>0</v>
      </c>
      <c r="L58"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58" s="8"/>
      <c r="N58" s="8"/>
    </row>
    <row r="59" spans="1:14" x14ac:dyDescent="0.25">
      <c r="A59" s="8"/>
      <c r="B59" s="8"/>
      <c r="C59" s="8"/>
      <c r="D59" s="8"/>
      <c r="E59" s="8"/>
      <c r="F59" s="8"/>
      <c r="G59" s="8"/>
      <c r="H59" s="1"/>
      <c r="I59" s="1">
        <f>IF(OR(ISBLANK(Table13456789101112131415161718192022212324252628293032333435363839414344345[[#This Row],[Finished Date]]), AND(Table13456789101112131415161718192022212324252628293032333435363839414344345[[#This Row],[On Hold Date]] &lt;&gt; "", ISBLANK(Table13456789101112131415161718192022212324252628293032333435363839414344345[[#This Row],[Re-Started Date]]))),  0, IF(ISBLANK(Table13456789101112131415161718192022212324252628293032333435363839414344345[[#This Row],[Re-Started Date]]), (Table13456789101112131415161718192022212324252628293032333435363839414344345[[#This Row],[Finished Date]]-Table13456789101112131415161718192022212324252628293032333435363839414344345[[#This Row],[Started Date]]), (Table13456789101112131415161718192022212324252628293032333435363839414344345[[#This Row],[Finished Date]]-Table13456789101112131415161718192022212324252628293032333435363839414344345[[#This Row],[Re-Started Date]])+(Table13456789101112131415161718192022212324252628293032333435363839414344345[[#This Row],[On Hold Date]]-Table13456789101112131415161718192022212324252628293032333435363839414344345[[#This Row],[Started Date]]))*8)</f>
        <v>0</v>
      </c>
      <c r="J59" s="1"/>
      <c r="K59" s="1">
        <f>Table13456789101112131415161718192022212324252628293032333435363839414344345[[#This Row],[Completed]]-Table13456789101112131415161718192022212324252628293032333435363839414344345[[#This Row],[Non Workable Days]]</f>
        <v>0</v>
      </c>
      <c r="L59" s="7">
        <f>IF(Table13456789101112131415161718192022212324252628293032333435363839414344345[[#This Row],[Real Worked time]] &gt;  0,Table13456789101112131415161718192022212324252628293032333435363839414344345[[#This Row],[Estimation ]]-Table13456789101112131415161718192022212324252628293032333435363839414344345[[#This Row],[Real Worked time]], 0)</f>
        <v>0</v>
      </c>
      <c r="M59" s="8"/>
      <c r="N59" s="8"/>
    </row>
  </sheetData>
  <conditionalFormatting sqref="K30:K59">
    <cfRule type="cellIs" dxfId="0" priority="2" operator="greaterThan">
      <formula>0</formula>
    </cfRule>
  </conditionalFormatting>
  <conditionalFormatting sqref="L2:L59">
    <cfRule type="colorScale" priority="1">
      <colorScale>
        <cfvo type="num" val="-1"/>
        <cfvo type="num" val="0"/>
        <cfvo type="num" val="1"/>
        <color rgb="FFF8696B"/>
        <color theme="0"/>
        <color rgb="FF63BE7B"/>
      </colorScale>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E0EB-7AC0-4039-A1F1-D81024A96E5F}">
  <dimension ref="A1:D31"/>
  <sheetViews>
    <sheetView workbookViewId="0"/>
  </sheetViews>
  <sheetFormatPr defaultRowHeight="15" x14ac:dyDescent="0.25"/>
  <cols>
    <col min="1" max="1" width="21.85546875" bestFit="1" customWidth="1"/>
    <col min="3" max="3" width="10" bestFit="1" customWidth="1"/>
  </cols>
  <sheetData>
    <row r="1" spans="1:3" x14ac:dyDescent="0.25">
      <c r="A1" s="21"/>
      <c r="B1" s="21" t="s">
        <v>7</v>
      </c>
      <c r="C1" s="21" t="s">
        <v>87</v>
      </c>
    </row>
    <row r="2" spans="1:3" x14ac:dyDescent="0.25">
      <c r="A2" s="21" t="s">
        <v>88</v>
      </c>
      <c r="B2" s="21">
        <v>332</v>
      </c>
      <c r="C2" s="22">
        <v>304</v>
      </c>
    </row>
    <row r="3" spans="1:3" x14ac:dyDescent="0.25">
      <c r="A3" s="21" t="s">
        <v>89</v>
      </c>
      <c r="B3" s="21">
        <v>340</v>
      </c>
      <c r="C3" s="22">
        <v>248</v>
      </c>
    </row>
    <row r="4" spans="1:3" x14ac:dyDescent="0.25">
      <c r="A4" s="21" t="s">
        <v>90</v>
      </c>
      <c r="B4" s="21">
        <v>312</v>
      </c>
      <c r="C4" s="22">
        <v>336</v>
      </c>
    </row>
    <row r="5" spans="1:3" x14ac:dyDescent="0.25">
      <c r="A5" s="21" t="s">
        <v>91</v>
      </c>
      <c r="B5" s="21">
        <v>348</v>
      </c>
      <c r="C5" s="22">
        <v>312</v>
      </c>
    </row>
    <row r="6" spans="1:3" x14ac:dyDescent="0.25">
      <c r="A6" s="21" t="s">
        <v>92</v>
      </c>
      <c r="B6" s="21">
        <v>312</v>
      </c>
      <c r="C6" s="22">
        <v>272</v>
      </c>
    </row>
    <row r="7" spans="1:3" x14ac:dyDescent="0.25">
      <c r="A7" s="21" t="s">
        <v>93</v>
      </c>
      <c r="B7" s="21">
        <v>376</v>
      </c>
      <c r="C7" s="22">
        <v>248</v>
      </c>
    </row>
    <row r="8" spans="1:3" x14ac:dyDescent="0.25">
      <c r="A8" s="21" t="s">
        <v>94</v>
      </c>
      <c r="B8" s="21">
        <v>312</v>
      </c>
      <c r="C8" s="22">
        <v>176</v>
      </c>
    </row>
    <row r="9" spans="1:3" x14ac:dyDescent="0.25">
      <c r="A9" s="21" t="s">
        <v>95</v>
      </c>
      <c r="B9" s="21">
        <v>284</v>
      </c>
      <c r="C9" s="22">
        <v>232</v>
      </c>
    </row>
    <row r="10" spans="1:3" x14ac:dyDescent="0.25">
      <c r="A10" s="21" t="s">
        <v>96</v>
      </c>
      <c r="B10" s="21">
        <v>300</v>
      </c>
      <c r="C10" s="22">
        <v>264</v>
      </c>
    </row>
    <row r="11" spans="1:3" x14ac:dyDescent="0.25">
      <c r="A11" s="21" t="s">
        <v>97</v>
      </c>
      <c r="B11" s="21">
        <v>456</v>
      </c>
      <c r="C11" s="22">
        <v>344</v>
      </c>
    </row>
    <row r="12" spans="1:3" x14ac:dyDescent="0.25">
      <c r="A12" s="21" t="s">
        <v>98</v>
      </c>
      <c r="B12" s="21">
        <v>332</v>
      </c>
      <c r="C12" s="22">
        <v>289</v>
      </c>
    </row>
    <row r="13" spans="1:3" x14ac:dyDescent="0.25">
      <c r="A13" s="21" t="s">
        <v>112</v>
      </c>
      <c r="B13" s="21">
        <v>252</v>
      </c>
      <c r="C13" s="22">
        <v>168</v>
      </c>
    </row>
    <row r="21" spans="1:4" x14ac:dyDescent="0.25">
      <c r="A21" s="21"/>
      <c r="B21" s="21" t="s">
        <v>99</v>
      </c>
      <c r="C21" s="21" t="s">
        <v>100</v>
      </c>
      <c r="D21" s="21" t="s">
        <v>101</v>
      </c>
    </row>
    <row r="22" spans="1:4" x14ac:dyDescent="0.25">
      <c r="A22" s="21" t="s">
        <v>102</v>
      </c>
      <c r="B22" s="21">
        <v>28</v>
      </c>
      <c r="C22" s="21">
        <v>252</v>
      </c>
      <c r="D22" s="21">
        <f>C22-B22</f>
        <v>224</v>
      </c>
    </row>
    <row r="23" spans="1:4" x14ac:dyDescent="0.25">
      <c r="A23" s="21" t="s">
        <v>103</v>
      </c>
      <c r="B23" s="21">
        <v>0</v>
      </c>
      <c r="C23" s="22">
        <f>C22-28</f>
        <v>224</v>
      </c>
      <c r="D23" s="21">
        <f t="shared" ref="D23:D31" si="0">D22-B23</f>
        <v>224</v>
      </c>
    </row>
    <row r="24" spans="1:4" x14ac:dyDescent="0.25">
      <c r="A24" s="21" t="s">
        <v>104</v>
      </c>
      <c r="B24">
        <v>0</v>
      </c>
      <c r="C24" s="22">
        <f t="shared" ref="C24:C31" si="1">C23-28</f>
        <v>196</v>
      </c>
      <c r="D24" s="21">
        <f t="shared" si="0"/>
        <v>224</v>
      </c>
    </row>
    <row r="25" spans="1:4" x14ac:dyDescent="0.25">
      <c r="A25" s="21" t="s">
        <v>105</v>
      </c>
      <c r="B25" s="21">
        <v>0</v>
      </c>
      <c r="C25" s="22">
        <f t="shared" si="1"/>
        <v>168</v>
      </c>
      <c r="D25" s="21">
        <f t="shared" si="0"/>
        <v>224</v>
      </c>
    </row>
    <row r="26" spans="1:4" x14ac:dyDescent="0.25">
      <c r="A26" s="21" t="s">
        <v>106</v>
      </c>
      <c r="B26" s="21">
        <v>20</v>
      </c>
      <c r="C26" s="22">
        <f t="shared" si="1"/>
        <v>140</v>
      </c>
      <c r="D26" s="21">
        <f t="shared" si="0"/>
        <v>204</v>
      </c>
    </row>
    <row r="27" spans="1:4" x14ac:dyDescent="0.25">
      <c r="A27" s="21" t="s">
        <v>107</v>
      </c>
      <c r="B27" s="21">
        <v>0</v>
      </c>
      <c r="C27" s="22">
        <f t="shared" si="1"/>
        <v>112</v>
      </c>
      <c r="D27" s="21">
        <f t="shared" si="0"/>
        <v>204</v>
      </c>
    </row>
    <row r="28" spans="1:4" x14ac:dyDescent="0.25">
      <c r="A28" s="21" t="s">
        <v>108</v>
      </c>
      <c r="B28" s="21">
        <v>36</v>
      </c>
      <c r="C28" s="22">
        <f t="shared" si="1"/>
        <v>84</v>
      </c>
      <c r="D28" s="21">
        <f t="shared" si="0"/>
        <v>168</v>
      </c>
    </row>
    <row r="29" spans="1:4" x14ac:dyDescent="0.25">
      <c r="A29" s="21" t="s">
        <v>109</v>
      </c>
      <c r="B29" s="23">
        <v>12</v>
      </c>
      <c r="C29" s="22">
        <f t="shared" si="1"/>
        <v>56</v>
      </c>
      <c r="D29" s="21">
        <f t="shared" si="0"/>
        <v>156</v>
      </c>
    </row>
    <row r="30" spans="1:4" x14ac:dyDescent="0.25">
      <c r="A30" s="21" t="s">
        <v>110</v>
      </c>
      <c r="B30" s="21">
        <v>24</v>
      </c>
      <c r="C30" s="22">
        <f t="shared" si="1"/>
        <v>28</v>
      </c>
      <c r="D30" s="21">
        <f t="shared" si="0"/>
        <v>132</v>
      </c>
    </row>
    <row r="31" spans="1:4" x14ac:dyDescent="0.25">
      <c r="A31" s="21" t="s">
        <v>111</v>
      </c>
      <c r="B31" s="21">
        <v>52</v>
      </c>
      <c r="C31" s="22">
        <f t="shared" si="1"/>
        <v>0</v>
      </c>
      <c r="D31" s="21">
        <f t="shared" si="0"/>
        <v>80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Sprint 2-15-26 | 2-28-26</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Suarez Aliendre</dc:creator>
  <cp:lastModifiedBy>David Suarez Aliendre</cp:lastModifiedBy>
  <dcterms:created xsi:type="dcterms:W3CDTF">2026-03-02T14:58:53Z</dcterms:created>
  <dcterms:modified xsi:type="dcterms:W3CDTF">2026-03-02T15:08:35Z</dcterms:modified>
</cp:coreProperties>
</file>